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hidePivotFieldList="1"/>
  <mc:AlternateContent xmlns:mc="http://schemas.openxmlformats.org/markup-compatibility/2006">
    <mc:Choice Requires="x15">
      <x15ac:absPath xmlns:x15ac="http://schemas.microsoft.com/office/spreadsheetml/2010/11/ac" url="C:\Users\W10\Downloads\"/>
    </mc:Choice>
  </mc:AlternateContent>
  <xr:revisionPtr revIDLastSave="0" documentId="13_ncr:1_{EAF05CD4-C6B7-4212-BCE8-E9AC48C5AC88}" xr6:coauthVersionLast="47" xr6:coauthVersionMax="47" xr10:uidLastSave="{00000000-0000-0000-0000-000000000000}"/>
  <bookViews>
    <workbookView xWindow="-120" yWindow="-120" windowWidth="20730" windowHeight="11160" activeTab="1" xr2:uid="{00000000-000D-0000-FFFF-FFFF00000000}"/>
  </bookViews>
  <sheets>
    <sheet name="Instruksi Tugas" sheetId="1" r:id="rId1"/>
    <sheet name="Data Penjualan" sheetId="2" r:id="rId2"/>
  </sheets>
  <definedNames>
    <definedName name="_xlnm._FilterDatabase" localSheetId="1" hidden="1">'Data Penjualan'!$A$1:$K$221</definedName>
  </definedNames>
  <calcPr calcId="191029" iterateDelta="1E-4"/>
  <extLst>
    <ext xmlns:xcalcf="http://schemas.microsoft.com/office/spreadsheetml/2018/calcfeatures" uri="{B58B0392-4F1F-4190-BB64-5DF3571DCE5F}">
      <xcalcf:calcFeatures>
        <xcalcf:feature name="microsoft.com:RD"/>
        <xcalcf:feature name="microsoft.com:FV"/>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3" i="2" l="1"/>
  <c r="K4" i="2"/>
  <c r="K5" i="2"/>
  <c r="K6" i="2"/>
  <c r="K7" i="2"/>
  <c r="K8" i="2"/>
  <c r="K9" i="2"/>
  <c r="K10" i="2"/>
  <c r="K11" i="2"/>
  <c r="K12" i="2"/>
  <c r="K13" i="2"/>
  <c r="K15" i="2"/>
  <c r="K16" i="2"/>
  <c r="K14" i="2"/>
  <c r="K17" i="2"/>
  <c r="K18" i="2"/>
  <c r="K19" i="2"/>
  <c r="K20" i="2"/>
  <c r="K21" i="2"/>
  <c r="K22" i="2"/>
  <c r="K23" i="2"/>
  <c r="K24" i="2"/>
  <c r="K25" i="2"/>
  <c r="K26" i="2"/>
  <c r="K27" i="2"/>
  <c r="K28" i="2"/>
  <c r="K29" i="2"/>
  <c r="K30" i="2"/>
  <c r="K31" i="2"/>
  <c r="K32" i="2"/>
  <c r="K34" i="2"/>
  <c r="K33" i="2"/>
  <c r="K35" i="2"/>
  <c r="K37" i="2"/>
  <c r="K36" i="2"/>
  <c r="K38" i="2"/>
  <c r="K39" i="2"/>
  <c r="K40" i="2"/>
  <c r="K41" i="2"/>
  <c r="K42" i="2"/>
  <c r="K43" i="2"/>
  <c r="K44" i="2"/>
  <c r="K45" i="2"/>
  <c r="K46" i="2"/>
  <c r="K47" i="2"/>
  <c r="K48" i="2"/>
  <c r="K49" i="2"/>
  <c r="K50" i="2"/>
  <c r="K51" i="2"/>
  <c r="K52" i="2"/>
  <c r="K53" i="2"/>
  <c r="K54" i="2"/>
  <c r="K56" i="2"/>
  <c r="K55" i="2"/>
  <c r="K57" i="2"/>
  <c r="K59" i="2"/>
  <c r="K58" i="2"/>
  <c r="K60" i="2"/>
  <c r="K61" i="2"/>
  <c r="K62" i="2"/>
  <c r="K63" i="2"/>
  <c r="K64" i="2"/>
  <c r="K65" i="2"/>
  <c r="K66" i="2"/>
  <c r="K67" i="2"/>
  <c r="K69" i="2"/>
  <c r="K68" i="2"/>
  <c r="K71" i="2"/>
  <c r="K70" i="2"/>
  <c r="K72" i="2"/>
  <c r="K73" i="2"/>
  <c r="K74" i="2"/>
  <c r="K75" i="2"/>
  <c r="K76" i="2"/>
  <c r="K77" i="2"/>
  <c r="K78" i="2"/>
  <c r="K79" i="2"/>
  <c r="K80" i="2"/>
  <c r="K81" i="2"/>
  <c r="K82" i="2"/>
  <c r="K83" i="2"/>
  <c r="K85" i="2"/>
  <c r="K86" i="2"/>
  <c r="K84" i="2"/>
  <c r="K87" i="2"/>
  <c r="K88" i="2"/>
  <c r="K90" i="2"/>
  <c r="K89" i="2"/>
  <c r="K91" i="2"/>
  <c r="K92" i="2"/>
  <c r="K93" i="2"/>
  <c r="K94" i="2"/>
  <c r="K95" i="2"/>
  <c r="K96" i="2"/>
  <c r="K97" i="2"/>
  <c r="K98" i="2"/>
  <c r="K99" i="2"/>
  <c r="K100" i="2"/>
  <c r="K101" i="2"/>
  <c r="K102" i="2"/>
  <c r="K103" i="2"/>
  <c r="K104" i="2"/>
  <c r="K105" i="2"/>
  <c r="K106" i="2"/>
  <c r="K107" i="2"/>
  <c r="K108" i="2"/>
  <c r="K110" i="2"/>
  <c r="K109"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50" i="2"/>
  <c r="K149" i="2"/>
  <c r="K151" i="2"/>
  <c r="K152" i="2"/>
  <c r="K153" i="2"/>
  <c r="K154" i="2"/>
  <c r="K155" i="2"/>
  <c r="K156" i="2"/>
  <c r="K157" i="2"/>
  <c r="K158" i="2"/>
  <c r="K159" i="2"/>
  <c r="K161" i="2"/>
  <c r="K160"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8" i="2"/>
  <c r="K187" i="2"/>
  <c r="K191" i="2"/>
  <c r="K189" i="2"/>
  <c r="K190" i="2"/>
  <c r="K192" i="2"/>
  <c r="K193" i="2"/>
  <c r="K194" i="2"/>
  <c r="K195" i="2"/>
  <c r="K196" i="2"/>
  <c r="K197" i="2"/>
  <c r="K199" i="2"/>
  <c r="K198" i="2"/>
  <c r="K200" i="2"/>
  <c r="K201" i="2"/>
  <c r="K202" i="2"/>
  <c r="K203" i="2"/>
  <c r="K204" i="2"/>
  <c r="K205" i="2"/>
  <c r="K206" i="2"/>
  <c r="K207" i="2"/>
  <c r="K208" i="2"/>
  <c r="K209" i="2"/>
  <c r="K210" i="2"/>
  <c r="K211" i="2"/>
  <c r="K212" i="2"/>
  <c r="K213" i="2"/>
  <c r="K214" i="2"/>
  <c r="K216" i="2"/>
  <c r="K215" i="2"/>
  <c r="K217" i="2"/>
  <c r="K218" i="2"/>
  <c r="K219" i="2"/>
  <c r="K221" i="2"/>
  <c r="K220" i="2"/>
  <c r="K2" i="2"/>
  <c r="N225"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 i="2"/>
  <c r="H2" i="2"/>
  <c r="H81" i="2"/>
  <c r="P81" i="2" s="1"/>
  <c r="H219" i="2"/>
  <c r="P219" i="2" s="1"/>
  <c r="H137" i="2"/>
  <c r="H170" i="2"/>
  <c r="H148" i="2"/>
  <c r="P148" i="2" s="1"/>
  <c r="H97" i="2"/>
  <c r="H107" i="2"/>
  <c r="H119" i="2"/>
  <c r="P119" i="2" s="1"/>
  <c r="H95" i="2"/>
  <c r="P95" i="2" s="1"/>
  <c r="H84" i="2"/>
  <c r="H153" i="2"/>
  <c r="H27" i="2"/>
  <c r="H77" i="2"/>
  <c r="P77" i="2" s="1"/>
  <c r="H38" i="2"/>
  <c r="H45" i="2"/>
  <c r="P45" i="2" s="1"/>
  <c r="H166" i="2"/>
  <c r="H206" i="2"/>
  <c r="P206" i="2" s="1"/>
  <c r="H42" i="2"/>
  <c r="H180" i="2"/>
  <c r="H33" i="2"/>
  <c r="H177" i="2"/>
  <c r="H159" i="2"/>
  <c r="H190" i="2"/>
  <c r="H70" i="2"/>
  <c r="H113" i="2"/>
  <c r="P113" i="2" s="1"/>
  <c r="H62" i="2"/>
  <c r="H9" i="2"/>
  <c r="H86" i="2"/>
  <c r="H169" i="2"/>
  <c r="H198" i="2"/>
  <c r="H172" i="2"/>
  <c r="P172" i="2" s="1"/>
  <c r="H99" i="2"/>
  <c r="P99" i="2" s="1"/>
  <c r="H46" i="2"/>
  <c r="P46" i="2" s="1"/>
  <c r="H140" i="2"/>
  <c r="H66" i="2"/>
  <c r="H160" i="2"/>
  <c r="H98" i="2"/>
  <c r="H60" i="2"/>
  <c r="H178" i="2"/>
  <c r="P178" i="2" s="1"/>
  <c r="H173" i="2"/>
  <c r="P173" i="2" s="1"/>
  <c r="H75" i="2"/>
  <c r="P75" i="2" s="1"/>
  <c r="H143" i="2"/>
  <c r="H36" i="2"/>
  <c r="H105" i="2"/>
  <c r="H109" i="2"/>
  <c r="H58" i="2"/>
  <c r="H115" i="2"/>
  <c r="H208" i="2"/>
  <c r="P208" i="2" s="1"/>
  <c r="H71" i="2"/>
  <c r="H10" i="2"/>
  <c r="P10" i="2" s="1"/>
  <c r="H149" i="2"/>
  <c r="H3" i="2"/>
  <c r="H78" i="2"/>
  <c r="H164" i="2"/>
  <c r="H11" i="2"/>
  <c r="P11" i="2" s="1"/>
  <c r="H112" i="2"/>
  <c r="P112" i="2" s="1"/>
  <c r="H87" i="2"/>
  <c r="P87" i="2" s="1"/>
  <c r="H40" i="2"/>
  <c r="H168" i="2"/>
  <c r="H135" i="2"/>
  <c r="H214" i="2"/>
  <c r="H162" i="2"/>
  <c r="P162" i="2" s="1"/>
  <c r="H104" i="2"/>
  <c r="P104" i="2" s="1"/>
  <c r="H7" i="2"/>
  <c r="H197" i="2"/>
  <c r="P197" i="2" s="1"/>
  <c r="H85" i="2"/>
  <c r="H12" i="2"/>
  <c r="H65" i="2"/>
  <c r="H35" i="2"/>
  <c r="H126" i="2"/>
  <c r="P126" i="2" s="1"/>
  <c r="H52" i="2"/>
  <c r="P52" i="2" s="1"/>
  <c r="H91" i="2"/>
  <c r="H212" i="2"/>
  <c r="H20" i="2"/>
  <c r="P20" i="2" s="1"/>
  <c r="H124" i="2"/>
  <c r="H14" i="2"/>
  <c r="H199" i="2"/>
  <c r="P198" i="2" s="1"/>
  <c r="H147" i="2"/>
  <c r="H161" i="2"/>
  <c r="P160" i="2" s="1"/>
  <c r="H158" i="2"/>
  <c r="P158" i="2" s="1"/>
  <c r="H25" i="2"/>
  <c r="P25" i="2" s="1"/>
  <c r="H6" i="2"/>
  <c r="P6" i="2" s="1"/>
  <c r="H131" i="2"/>
  <c r="H152" i="2"/>
  <c r="H34" i="2"/>
  <c r="H213" i="2"/>
  <c r="H64" i="2"/>
  <c r="P64" i="2" s="1"/>
  <c r="H92" i="2"/>
  <c r="P92" i="2" s="1"/>
  <c r="H39" i="2"/>
  <c r="P39" i="2" s="1"/>
  <c r="H194" i="2"/>
  <c r="H44" i="2"/>
  <c r="P44" i="2" s="1"/>
  <c r="H102" i="2"/>
  <c r="H203" i="2"/>
  <c r="H103" i="2"/>
  <c r="P103" i="2" s="1"/>
  <c r="H80" i="2"/>
  <c r="H176" i="2"/>
  <c r="P176" i="2" s="1"/>
  <c r="H101" i="2"/>
  <c r="P101" i="2" s="1"/>
  <c r="H114" i="2"/>
  <c r="H57" i="2"/>
  <c r="H79" i="2"/>
  <c r="P79" i="2" s="1"/>
  <c r="H183" i="2"/>
  <c r="H63" i="2"/>
  <c r="P63" i="2" s="1"/>
  <c r="H142" i="2"/>
  <c r="P142" i="2" s="1"/>
  <c r="H89" i="2"/>
  <c r="P90" i="2" s="1"/>
  <c r="H30" i="2"/>
  <c r="P30" i="2" s="1"/>
  <c r="H24" i="2"/>
  <c r="H31" i="2"/>
  <c r="H72" i="2"/>
  <c r="H192" i="2"/>
  <c r="H189" i="2"/>
  <c r="H118" i="2"/>
  <c r="P118" i="2" s="1"/>
  <c r="H193" i="2"/>
  <c r="P193" i="2" s="1"/>
  <c r="H220" i="2"/>
  <c r="H121" i="2"/>
  <c r="P121" i="2" s="1"/>
  <c r="H207" i="2"/>
  <c r="H100" i="2"/>
  <c r="H215" i="2"/>
  <c r="H195" i="2"/>
  <c r="P195" i="2" s="1"/>
  <c r="H106" i="2"/>
  <c r="P106" i="2" s="1"/>
  <c r="H54" i="2"/>
  <c r="P54" i="2" s="1"/>
  <c r="H22" i="2"/>
  <c r="P22" i="2" s="1"/>
  <c r="H117" i="2"/>
  <c r="P117" i="2" s="1"/>
  <c r="H139" i="2"/>
  <c r="H204" i="2"/>
  <c r="H186" i="2"/>
  <c r="H4" i="2"/>
  <c r="P4" i="2" s="1"/>
  <c r="H94" i="2"/>
  <c r="H59" i="2"/>
  <c r="P58" i="2" s="1"/>
  <c r="H88" i="2"/>
  <c r="P88" i="2" s="1"/>
  <c r="H82" i="2"/>
  <c r="P82" i="2" s="1"/>
  <c r="H211" i="2"/>
  <c r="P211" i="2" s="1"/>
  <c r="H181" i="2"/>
  <c r="H151" i="2"/>
  <c r="H155" i="2"/>
  <c r="P155" i="2" s="1"/>
  <c r="H218" i="2"/>
  <c r="P218" i="2" s="1"/>
  <c r="H5" i="2"/>
  <c r="P5" i="2" s="1"/>
  <c r="H157" i="2"/>
  <c r="P157" i="2" s="1"/>
  <c r="H8" i="2"/>
  <c r="P8" i="2" s="1"/>
  <c r="H67" i="2"/>
  <c r="H202" i="2"/>
  <c r="H221" i="2"/>
  <c r="H55" i="2"/>
  <c r="H19" i="2"/>
  <c r="H156" i="2"/>
  <c r="P156" i="2" s="1"/>
  <c r="H111" i="2"/>
  <c r="P111" i="2" s="1"/>
  <c r="H32" i="2"/>
  <c r="P32" i="2" s="1"/>
  <c r="H122" i="2"/>
  <c r="H48" i="2"/>
  <c r="H17" i="2"/>
  <c r="P17" i="2" s="1"/>
  <c r="H18" i="2"/>
  <c r="P18" i="2" s="1"/>
  <c r="H50" i="2"/>
  <c r="H41" i="2"/>
  <c r="P41" i="2" s="1"/>
  <c r="H125" i="2"/>
  <c r="P125" i="2" s="1"/>
  <c r="H93" i="2"/>
  <c r="H43" i="2"/>
  <c r="H90" i="2"/>
  <c r="H23" i="2"/>
  <c r="P23" i="2" s="1"/>
  <c r="H68" i="2"/>
  <c r="H83" i="2"/>
  <c r="P83" i="2" s="1"/>
  <c r="H175" i="2"/>
  <c r="P175" i="2" s="1"/>
  <c r="H127" i="2"/>
  <c r="P127" i="2" s="1"/>
  <c r="H123" i="2"/>
  <c r="P123" i="2" s="1"/>
  <c r="H56" i="2"/>
  <c r="H145" i="2"/>
  <c r="H120" i="2"/>
  <c r="H201" i="2"/>
  <c r="P201" i="2" s="1"/>
  <c r="H200" i="2"/>
  <c r="P200" i="2" s="1"/>
  <c r="H73" i="2"/>
  <c r="P73" i="2" s="1"/>
  <c r="H116" i="2"/>
  <c r="P116" i="2" s="1"/>
  <c r="H167" i="2"/>
  <c r="P167" i="2" s="1"/>
  <c r="H49" i="2"/>
  <c r="H74" i="2"/>
  <c r="H133" i="2"/>
  <c r="H179" i="2"/>
  <c r="H28" i="2"/>
  <c r="P28" i="2" s="1"/>
  <c r="H163" i="2"/>
  <c r="H53" i="2"/>
  <c r="P53" i="2" s="1"/>
  <c r="H138" i="2"/>
  <c r="P138" i="2" s="1"/>
  <c r="H130" i="2"/>
  <c r="H26" i="2"/>
  <c r="H187" i="2"/>
  <c r="H171" i="2"/>
  <c r="H191" i="2"/>
  <c r="P189" i="2" s="1"/>
  <c r="H174" i="2"/>
  <c r="P174" i="2" s="1"/>
  <c r="H136" i="2"/>
  <c r="P136" i="2" s="1"/>
  <c r="H196" i="2"/>
  <c r="P196" i="2" s="1"/>
  <c r="H210" i="2"/>
  <c r="H16" i="2"/>
  <c r="H188" i="2"/>
  <c r="H185" i="2"/>
  <c r="P185" i="2" s="1"/>
  <c r="H154" i="2"/>
  <c r="P154" i="2" s="1"/>
  <c r="H108" i="2"/>
  <c r="P108" i="2" s="1"/>
  <c r="H205" i="2"/>
  <c r="P205" i="2" s="1"/>
  <c r="H37" i="2"/>
  <c r="H13" i="2"/>
  <c r="H69" i="2"/>
  <c r="H146" i="2"/>
  <c r="P146" i="2" s="1"/>
  <c r="H165" i="2"/>
  <c r="P165" i="2" s="1"/>
  <c r="H129" i="2"/>
  <c r="P129" i="2" s="1"/>
  <c r="H29" i="2"/>
  <c r="H150" i="2"/>
  <c r="P149" i="2" s="1"/>
  <c r="H141" i="2"/>
  <c r="P141" i="2" s="1"/>
  <c r="H134" i="2"/>
  <c r="H110" i="2"/>
  <c r="H144" i="2"/>
  <c r="P144" i="2" s="1"/>
  <c r="H216" i="2"/>
  <c r="H61" i="2"/>
  <c r="P61" i="2" s="1"/>
  <c r="H76" i="2"/>
  <c r="P76" i="2" s="1"/>
  <c r="H15" i="2"/>
  <c r="P14" i="2" s="1"/>
  <c r="H21" i="2"/>
  <c r="P21" i="2" s="1"/>
  <c r="H217" i="2"/>
  <c r="H51" i="2"/>
  <c r="H96" i="2"/>
  <c r="H47" i="2"/>
  <c r="P47" i="2" s="1"/>
  <c r="H132" i="2"/>
  <c r="P132" i="2" s="1"/>
  <c r="H209" i="2"/>
  <c r="P209" i="2" s="1"/>
  <c r="H182" i="2"/>
  <c r="P182" i="2" s="1"/>
  <c r="H128" i="2"/>
  <c r="P128" i="2" s="1"/>
  <c r="H184" i="2"/>
  <c r="P184" i="2" s="1"/>
  <c r="P215" i="2" l="1"/>
  <c r="P187" i="2"/>
  <c r="P36" i="2"/>
  <c r="P221" i="2"/>
  <c r="P70" i="2"/>
  <c r="P190" i="2"/>
  <c r="P15" i="2"/>
  <c r="P188" i="2"/>
  <c r="P191" i="2"/>
  <c r="P80" i="2"/>
  <c r="P115" i="2"/>
  <c r="P107" i="2"/>
  <c r="P69" i="2"/>
  <c r="P56" i="2"/>
  <c r="P213" i="2"/>
  <c r="P147" i="2"/>
  <c r="P164" i="2"/>
  <c r="P59" i="2"/>
  <c r="P60" i="2"/>
  <c r="P199" i="2"/>
  <c r="P159" i="2"/>
  <c r="P38" i="2"/>
  <c r="P97" i="2"/>
  <c r="P163" i="2"/>
  <c r="P96" i="2"/>
  <c r="P120" i="2"/>
  <c r="P110" i="2"/>
  <c r="P177" i="2"/>
  <c r="P212" i="2"/>
  <c r="P91" i="2"/>
  <c r="P50" i="2"/>
  <c r="P179" i="2"/>
  <c r="P220" i="2"/>
  <c r="P186" i="2"/>
  <c r="P192" i="2"/>
  <c r="P203" i="2"/>
  <c r="P35" i="2"/>
  <c r="P78" i="2"/>
  <c r="P169" i="2"/>
  <c r="P51" i="2"/>
  <c r="P109" i="2"/>
  <c r="P68" i="2"/>
  <c r="P26" i="2"/>
  <c r="P74" i="2"/>
  <c r="P145" i="2"/>
  <c r="P89" i="2"/>
  <c r="P48" i="2"/>
  <c r="P202" i="2"/>
  <c r="P181" i="2"/>
  <c r="P204" i="2"/>
  <c r="P100" i="2"/>
  <c r="P72" i="2"/>
  <c r="P102" i="2"/>
  <c r="P152" i="2"/>
  <c r="P16" i="2"/>
  <c r="P65" i="2"/>
  <c r="P135" i="2"/>
  <c r="P3" i="2"/>
  <c r="P105" i="2"/>
  <c r="P161" i="2"/>
  <c r="P85" i="2"/>
  <c r="P34" i="2"/>
  <c r="P27" i="2"/>
  <c r="P170" i="2"/>
  <c r="P19" i="2"/>
  <c r="P171" i="2"/>
  <c r="P133" i="2"/>
  <c r="P151" i="2"/>
  <c r="P216" i="2"/>
  <c r="P183" i="2"/>
  <c r="P33" i="2"/>
  <c r="P214" i="2"/>
  <c r="P98" i="2"/>
  <c r="P217" i="2"/>
  <c r="P134" i="2"/>
  <c r="P13" i="2"/>
  <c r="P210" i="2"/>
  <c r="P130" i="2"/>
  <c r="P49" i="2"/>
  <c r="P55" i="2"/>
  <c r="P43" i="2"/>
  <c r="P122" i="2"/>
  <c r="P67" i="2"/>
  <c r="P139" i="2"/>
  <c r="P207" i="2"/>
  <c r="P31" i="2"/>
  <c r="P57" i="2"/>
  <c r="P131" i="2"/>
  <c r="P124" i="2"/>
  <c r="P12" i="2"/>
  <c r="P168" i="2"/>
  <c r="P150" i="2"/>
  <c r="P37" i="2"/>
  <c r="P66" i="2"/>
  <c r="P9" i="2"/>
  <c r="P180" i="2"/>
  <c r="P153" i="2"/>
  <c r="P137" i="2"/>
  <c r="P7" i="2"/>
  <c r="P93" i="2"/>
  <c r="P24" i="2"/>
  <c r="P114" i="2"/>
  <c r="P194" i="2"/>
  <c r="P84" i="2"/>
  <c r="P40" i="2"/>
  <c r="P143" i="2"/>
  <c r="P140" i="2"/>
  <c r="P62" i="2"/>
  <c r="P42" i="2"/>
  <c r="P86" i="2"/>
  <c r="P29" i="2"/>
  <c r="P71" i="2"/>
  <c r="P166" i="2"/>
  <c r="P2" i="2"/>
  <c r="P94" i="2"/>
  <c r="N22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F35F0E-3471-46A9-B1BF-BE2B60902490}" sourceFile="C:\Users\W10\Downloads\Data_Penjualan_NusantaraMart_2025.xlsx" keepAlive="1" name="Data_Penjualan_NusantaraMart_2025" type="5" refreshedVersion="7" background="1">
    <dbPr connection="Provider=Microsoft.ACE.OLEDB.12.0;User ID=Admin;Data Source=C:\Users\W10\Downloads\Data_Penjualan_NusantaraMart_2025.xlsx;Mode=Share Deny Write;Extended Properties=&quot;HDR=YES;&quot;;Jet OLEDB:System database=&quot;&quot;;Jet OLEDB:Registry Path=&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Data Penjualan$'" commandType="3"/>
  </connection>
  <connection id="2" xr16:uid="{954281B2-B013-44CA-A66E-CB62645067C0}" sourceFile="C:\Users\W10\Downloads\Data_Penjualan_NusantaraMart_2025.xlsx" odcFile="C:\Users\W10\Documents\My Data Sources\Data_Penjualan_NusantaraMart_2025 'Data Penjualan$'.od.odc" keepAlive="1" name="Data_Penjualan_NusantaraMart_2025 'Data Penjualan$'.od" type="5" refreshedVersion="7" background="1">
    <dbPr connection="Provider=Microsoft.ACE.OLEDB.12.0;User ID=Admin;Data Source=C:\Users\W10\Downloads\Data_Penjualan_NusantaraMart_2025.xlsx;Mode=Share Deny Write;Extended Properties=&quot;HDR=YES;&quot;;Jet OLEDB:System database=&quot;&quot;;Jet OLEDB:Registry Path=&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Data Penjualan$'" commandType="3"/>
  </connection>
</connections>
</file>

<file path=xl/sharedStrings.xml><?xml version="1.0" encoding="utf-8"?>
<sst xmlns="http://schemas.openxmlformats.org/spreadsheetml/2006/main" count="1400" uniqueCount="345">
  <si>
    <t>MEMO TUGAS ANALISIS DATA</t>
  </si>
  <si>
    <t>Kepada: Data Analyst  |  Dari: Kepala Divisi Bisnis, Nusantara Mart  |  Tanggal: 26 Agustus 2026</t>
  </si>
  <si>
    <t>1. LATAR BELAKANG</t>
  </si>
  <si>
    <t>Nusantara Mart adalah bisnis retail yang menjual produk lintas kategori (Elektronik, Fashion, Rumah Tangga, Kecantikan, Olahraga) ke 10 wilayah kota besar di Indonesia. Terlampir pada sheet 'Data Penjualan' adalah data transaksi penjualan sepanjang tahun 2025 (225 baris, 10 kolom). Data ini diambil langsung dari sistem pencatatan toko dan BELUM DIBERSIHKAN sepenuhnya — silakan periksa kualitas data terlebih dahulu sebelum melakukan analisis lanjutan.</t>
  </si>
  <si>
    <t>2. TUJUAN BISNIS</t>
  </si>
  <si>
    <t>Manajemen ingin memahami performa penjualan sepanjang 2025 untuk menentukan strategi stok, promosi, dan ekspansi wilayah di tahun 2026. Hasil analisis akan dipresentasikan ke jajaran direksi dalam rapat evaluasi tahunan.</t>
  </si>
  <si>
    <t>3. DESKRIPSI KOLOM DATA</t>
  </si>
  <si>
    <t>• Order_ID  —  ID unik transaksi/pesanan</t>
  </si>
  <si>
    <t>• Tanggal_Order  —  Tanggal transaksi terjadi (format YYYY-MM-DD)</t>
  </si>
  <si>
    <t>• Wilayah  —  Kota tempat pelanggan berada</t>
  </si>
  <si>
    <t>• Kategori_Produk  —  Kategori produk yang dibeli</t>
  </si>
  <si>
    <t>• Nama_Produk  —  Nama spesifik produk</t>
  </si>
  <si>
    <t>• Jumlah  —  Jumlah unit yang dibeli dalam transaksi tersebut</t>
  </si>
  <si>
    <t>• Harga_Satuan  —  Harga per unit produk (Rupiah)</t>
  </si>
  <si>
    <t>• Total_Penjualan  —  Jumlah x Harga_Satuan (sudah berupa formula di Excel)</t>
  </si>
  <si>
    <t>• Metode_Pembayaran  —  Cara pelanggan membayar</t>
  </si>
  <si>
    <t>• Segmen_Pelanggan  —  Retail (perorangan), Reseller, atau Grosir</t>
  </si>
  <si>
    <t>4. TUGAS YANG HARUS DIKERJAKAN</t>
  </si>
  <si>
    <t>TAHAP A — PEMBERSIHAN &amp; VALIDASI DATA (Data Cleaning)</t>
  </si>
  <si>
    <t>1. Periksa dan identifikasi seluruh baris dengan nilai kosong (missing value) — kolom Wilayah dan Metode_Pembayaran diketahui memiliki data yang hilang. Tandai baris tersebut dan putuskan apakah akan dihapus, diisi dengan nilai default, atau ditelusuri lebih lanjut. Jelaskan alasan keputusan Anda.</t>
  </si>
  <si>
    <t>2. Cek duplikasi data — beberapa Order_ID mungkin tercatat lebih dari satu kali akibat kesalahan input ganda. Identifikasi baris duplikat dan tentukan mana yang harus dihapus.</t>
  </si>
  <si>
    <t>3. Periksa konsistensi penulisan teks — beberapa nilai pada kolom Wilayah tertulis dengan huruf kapital tidak konsisten (contoh: 'JAKARTA' vs 'Jakarta'). Standardisasi seluruh nilai kategori teks.</t>
  </si>
  <si>
    <t>4. Validasi tipe data dan rentang nilai — pastikan Jumlah dan Harga_Satuan berupa angka positif, dan Tanggal_Order berada dalam rentang 1 Jan – 31 Des 2025. Laporkan jika ditemukan anomali.</t>
  </si>
  <si>
    <t>5. Buat log ringkas (bisa di sheet baru bernama 'Catatan Cleaning') yang mencatat: jumlah baris awal, jumlah baris setelah cleaning, dan setiap keputusan pembersihan yang diambil beserta alasannya.</t>
  </si>
  <si>
    <t>TAHAP B — ANALISIS DESKRIPTIF</t>
  </si>
  <si>
    <t>1. Hitung total penjualan (Rupiah) dan total unit terjual secara keseluruhan untuk tahun 2025.</t>
  </si>
  <si>
    <t>2. Buat ringkasan penjualan bulanan (per bulan Jan–Des) — tren naik/turun, dan identifikasi bulan dengan penjualan tertinggi &amp; terendah beserta kemungkinan penyebabnya.</t>
  </si>
  <si>
    <t>3. Buat ringkasan penjualan per Wilayah — urutkan dari kontribusi terbesar ke terkecil, dan hitung persentase kontribusi masing-masing wilayah terhadap total penjualan.</t>
  </si>
  <si>
    <t>4. Buat ringkasan penjualan per Kategori_Produk dan per Nama_Produk — identifikasi 5 produk terlaris (berdasarkan Total_Penjualan) dan 5 produk dengan penjualan terendah.</t>
  </si>
  <si>
    <t>5. Analisis berdasarkan Segmen_Pelanggan — bandingkan rata-rata nilai transaksi (average order value) antara segmen Retail, Reseller, dan Grosir.</t>
  </si>
  <si>
    <t>6. Analisis Metode_Pembayaran — metode apa yang paling banyak digunakan pelanggan, dan apakah ada hubungan antara metode pembayaran dengan besar nilai transaksi.</t>
  </si>
  <si>
    <t>TAHAP C — ANALISIS LANJUTAN &amp; INSIGHT BISNIS</t>
  </si>
  <si>
    <t>1. Identifikasi pola musiman (seasonality) — apakah ada kategori produk tertentu yang penjualannya meningkat di bulan-bulan tertentu?</t>
  </si>
  <si>
    <t>2. Lakukan segmentasi wilayah — kelompokkan 10 wilayah menjadi kategori 'performa tinggi', 'sedang', dan 'rendah' berdasarkan kontribusi penjualan, lalu berikan rekomendasi strategi untuk masing-masing kelompok.</t>
  </si>
  <si>
    <t>3. Hitung rata-rata nilai transaksi (Total_Penjualan) per Wilayah dan per Kategori_Produk, lalu cari kombinasi wilayah x kategori yang paling menguntungkan.</t>
  </si>
  <si>
    <t>4. Buat minimal 5 visualisasi (chart) yang relevan, contoh: tren penjualan bulanan (line chart), kontribusi wilayah (bar/pie chart), performa kategori produk (bar chart), perbandingan segmen pelanggan, dan distribusi metode pembayaran.</t>
  </si>
  <si>
    <t>5. Rumuskan minimal 5 insight bisnis yang actionable (dapat langsung ditindaklanjuti oleh manajemen), bukan sekadar deskripsi angka.</t>
  </si>
  <si>
    <t>TAHAP D — REKOMENDASI &amp; PELAPORAN</t>
  </si>
  <si>
    <t>1. Susun rekomendasi strategis untuk tahun 2026 terkait: (a) wilayah mana yang perlu diprioritaskan untuk ekspansi/promosi, (b) kategori/produk mana yang perlu ditambah stoknya, (c) produk mana yang perlu dievaluasi ulang (diskon, bundling, atau dihentikan).</t>
  </si>
  <si>
    <t>2. Buat ringkasan eksekutif (executive summary) maksimal 1 halaman yang merangkum temuan utama dan rekomendasi, ditulis dengan bahasa yang mudah dipahami oleh direksi non-teknis.</t>
  </si>
  <si>
    <t>3. Siapkan seluruh hasil analisis (tabel, chart, insight, rekomendasi) dalam format yang rapi dan siap dipresentasikan — boleh dalam sheet tambahan pada file Excel ini, atau slide presentasi terpisah.</t>
  </si>
  <si>
    <t>5. FORMAT &amp; DEADLINE PENGUMPULAN</t>
  </si>
  <si>
    <t>• File Excel ini dikembalikan dengan tambahan sheet: 'Catatan Cleaning', 'Ringkasan Analisis', dan 'Chart &amp; Insight' (gunakan nama sheet ini agar konsisten dengan review nanti).</t>
  </si>
  <si>
    <t>• Sertakan Executive Summary (maksimal 1 halaman / 1 sheet) di bagian paling depan file.</t>
  </si>
  <si>
    <t>• Seluruh angka pada tabel ringkasan harus menggunakan FORMULA Excel (bukan angka hasil hitung manual yang di-paste), agar dapat diverifikasi dan diperbarui otomatis jika data berubah.</t>
  </si>
  <si>
    <t>• Setiap insight dan rekomendasi harus didukung oleh angka/data konkret dari tabel analisis, bukan asumsi semata.</t>
  </si>
  <si>
    <t>• Deadline pengumpulan: 5 hari kerja sejak tugas ini diterima.</t>
  </si>
  <si>
    <t>• Jika ada asumsi yang diambil selama proses cleaning atau analisis (misalnya cara menangani data kosong), wajib dituliskan secara eksplisit di sheet 'Catatan Cleaning'.</t>
  </si>
  <si>
    <t>6. KRITERIA PENILAIAN</t>
  </si>
  <si>
    <t>• Ketepatan proses cleaning data (semua isu ditemukan dan ditangani dengan alasan yang jelas)</t>
  </si>
  <si>
    <t>• Ketepatan dan konsistensi formula/angka pada seluruh tabel ringkasan</t>
  </si>
  <si>
    <t>• Kejelasan dan relevansi visualisasi data</t>
  </si>
  <si>
    <t>• Kedalaman insight — bukan hanya deskriptif, tapi menjawab 'jadi apa artinya bagi bisnis?'</t>
  </si>
  <si>
    <t>• Kualitas rekomendasi — spesifik, dapat ditindaklanjuti, dan berbasis data</t>
  </si>
  <si>
    <t>• Kerapian format &amp; kemudahan dibaca oleh non-teknis (direksi)</t>
  </si>
  <si>
    <t>Catatan: silakan hubungi saya jika ada pertanyaan terkait definisi kolom, konteks bisnis, atau jika ditemukan anomali data yang butuh klarifikasi lebih lanjut sebelum Anda melanjutkan analisis.</t>
  </si>
  <si>
    <t>Order_ID</t>
  </si>
  <si>
    <t>Tanggal_Order</t>
  </si>
  <si>
    <t>Wilayah</t>
  </si>
  <si>
    <t>Kategori_Produk</t>
  </si>
  <si>
    <t>Nama_Produk</t>
  </si>
  <si>
    <t>Jumlah</t>
  </si>
  <si>
    <t>Harga_Satuan</t>
  </si>
  <si>
    <t>Total_Penjualan</t>
  </si>
  <si>
    <t>Metode_Pembayaran</t>
  </si>
  <si>
    <t>Segmen_Pelanggan</t>
  </si>
  <si>
    <t>ORD-1061</t>
  </si>
  <si>
    <t>Elektronik</t>
  </si>
  <si>
    <t>Mouse Wireless</t>
  </si>
  <si>
    <t>Transfer Bank</t>
  </si>
  <si>
    <t>Retail</t>
  </si>
  <si>
    <t>ORD-1149</t>
  </si>
  <si>
    <t>Semarang</t>
  </si>
  <si>
    <t>Kecantikan</t>
  </si>
  <si>
    <t>Lotion Pelembab</t>
  </si>
  <si>
    <t>COD</t>
  </si>
  <si>
    <t>ORD-1098</t>
  </si>
  <si>
    <t>Medan</t>
  </si>
  <si>
    <t>Masker Wajah</t>
  </si>
  <si>
    <t>Reseller</t>
  </si>
  <si>
    <t>ORD-1067</t>
  </si>
  <si>
    <t>Denpasar</t>
  </si>
  <si>
    <t>E-Wallet</t>
  </si>
  <si>
    <t>ORD-1121</t>
  </si>
  <si>
    <t>Surabaya</t>
  </si>
  <si>
    <t>Kabel Data USB-C</t>
  </si>
  <si>
    <t>ORD-1118</t>
  </si>
  <si>
    <t>Fashion</t>
  </si>
  <si>
    <t>Jaket Hoodie</t>
  </si>
  <si>
    <t>Kartu Kredit</t>
  </si>
  <si>
    <t>ORD-1097</t>
  </si>
  <si>
    <t>Palembang</t>
  </si>
  <si>
    <t>Kemeja Flanel</t>
  </si>
  <si>
    <t>QRIS</t>
  </si>
  <si>
    <t>ORD-1025</t>
  </si>
  <si>
    <t>Speaker Portable</t>
  </si>
  <si>
    <t>ORD-1096</t>
  </si>
  <si>
    <t>ORD-1180</t>
  </si>
  <si>
    <t>Bandung</t>
  </si>
  <si>
    <t>ORD-1012</t>
  </si>
  <si>
    <t>ORD-1075</t>
  </si>
  <si>
    <t>Yogyakarta</t>
  </si>
  <si>
    <t>Serum Vitamin C</t>
  </si>
  <si>
    <t>ORD-1081</t>
  </si>
  <si>
    <t>Olahraga</t>
  </si>
  <si>
    <t>Matras Yoga</t>
  </si>
  <si>
    <t>ORD-1003</t>
  </si>
  <si>
    <t>Malang</t>
  </si>
  <si>
    <t>ORD-1151</t>
  </si>
  <si>
    <t>Sabun Cuci Muka</t>
  </si>
  <si>
    <t>ORD-1023</t>
  </si>
  <si>
    <t>Rumah Tangga</t>
  </si>
  <si>
    <t>Wajan Anti Lengket</t>
  </si>
  <si>
    <t>ORD-1105</t>
  </si>
  <si>
    <t>Botol Minum 1L</t>
  </si>
  <si>
    <t>Grosir</t>
  </si>
  <si>
    <t>ORD-1172</t>
  </si>
  <si>
    <t>Power Bank 10000mAh</t>
  </si>
  <si>
    <t>ORD-1109</t>
  </si>
  <si>
    <t>ORD-1079</t>
  </si>
  <si>
    <t>Jakarta</t>
  </si>
  <si>
    <t>ORD-1099</t>
  </si>
  <si>
    <t>Botol Shaker</t>
  </si>
  <si>
    <t>ORD-1126</t>
  </si>
  <si>
    <t>ORD-1135</t>
  </si>
  <si>
    <t>ORD-1170</t>
  </si>
  <si>
    <t>Topi Baseball</t>
  </si>
  <si>
    <t>ORD-1047</t>
  </si>
  <si>
    <t>ORD-1202</t>
  </si>
  <si>
    <t>ORD-1083</t>
  </si>
  <si>
    <t>ORD-1157</t>
  </si>
  <si>
    <t>Charger Fast Charging</t>
  </si>
  <si>
    <t>ORD-1218</t>
  </si>
  <si>
    <t>Tali Skipping</t>
  </si>
  <si>
    <t>ORD-1103</t>
  </si>
  <si>
    <t>ORD-1107</t>
  </si>
  <si>
    <t>Makassar</t>
  </si>
  <si>
    <t>ORD-1220</t>
  </si>
  <si>
    <t>ORD-1035</t>
  </si>
  <si>
    <t>ORD-1208</t>
  </si>
  <si>
    <t>Kaos Polos</t>
  </si>
  <si>
    <t>ORD-1095</t>
  </si>
  <si>
    <t>ORD-1066</t>
  </si>
  <si>
    <t>ORD-1179</t>
  </si>
  <si>
    <t>ORD-1122</t>
  </si>
  <si>
    <t>Resistance Band</t>
  </si>
  <si>
    <t>ORD-1207</t>
  </si>
  <si>
    <t>ORD-1166</t>
  </si>
  <si>
    <t>Kotak Penyimpanan</t>
  </si>
  <si>
    <t>ORD-1010</t>
  </si>
  <si>
    <t>ORD-1064</t>
  </si>
  <si>
    <t>ORD-1110</t>
  </si>
  <si>
    <t>ORD-1164</t>
  </si>
  <si>
    <t>Sapu Lidi</t>
  </si>
  <si>
    <t>ORD-1106</t>
  </si>
  <si>
    <t>ORD-1058</t>
  </si>
  <si>
    <t>ORD-1210</t>
  </si>
  <si>
    <t>ORD-1140</t>
  </si>
  <si>
    <t>ORD-1102</t>
  </si>
  <si>
    <t>ORD-1015</t>
  </si>
  <si>
    <t>ORD-1028</t>
  </si>
  <si>
    <t>ORD-1041</t>
  </si>
  <si>
    <t>ORD-1046</t>
  </si>
  <si>
    <t>ORD-1159</t>
  </si>
  <si>
    <t>ORD-1032</t>
  </si>
  <si>
    <t>ORD-1171</t>
  </si>
  <si>
    <t>ORD-1134</t>
  </si>
  <si>
    <t>ORD-1033</t>
  </si>
  <si>
    <t>ORD-1014</t>
  </si>
  <si>
    <t>ORD-1132</t>
  </si>
  <si>
    <t>ORD-1089</t>
  </si>
  <si>
    <t>ORD-1144</t>
  </si>
  <si>
    <t>ORD-1029</t>
  </si>
  <si>
    <t>Rak Sepatu Lipat</t>
  </si>
  <si>
    <t>ORD-1019</t>
  </si>
  <si>
    <t>ORD-1127</t>
  </si>
  <si>
    <t>ORD-1155</t>
  </si>
  <si>
    <t>Celana Jeans</t>
  </si>
  <si>
    <t>ORD-1016</t>
  </si>
  <si>
    <t>ORD-1100</t>
  </si>
  <si>
    <t>ORD-1059</t>
  </si>
  <si>
    <t>ORD-1037</t>
  </si>
  <si>
    <t>ORD-1142</t>
  </si>
  <si>
    <t>Earphone Bluetooth</t>
  </si>
  <si>
    <t>ORD-1200</t>
  </si>
  <si>
    <t>ORD-1052</t>
  </si>
  <si>
    <t>ORD-1187</t>
  </si>
  <si>
    <t>ORD-1154</t>
  </si>
  <si>
    <t>ORD-1165</t>
  </si>
  <si>
    <t>ORD-1201</t>
  </si>
  <si>
    <t>ORD-1085</t>
  </si>
  <si>
    <t>ORD-1130</t>
  </si>
  <si>
    <t>ORD-1141</t>
  </si>
  <si>
    <t>ORD-1195</t>
  </si>
  <si>
    <t>ORD-1038</t>
  </si>
  <si>
    <t>ORD-1178</t>
  </si>
  <si>
    <t>ORD-1086</t>
  </si>
  <si>
    <t>ORD-1115</t>
  </si>
  <si>
    <t>ORD-1209</t>
  </si>
  <si>
    <t>ORD-1050</t>
  </si>
  <si>
    <t>ORD-1114</t>
  </si>
  <si>
    <t>ORD-1006</t>
  </si>
  <si>
    <t>ORD-1018</t>
  </si>
  <si>
    <t>ORD-1133</t>
  </si>
  <si>
    <t>ORD-1188</t>
  </si>
  <si>
    <t>ORD-1199</t>
  </si>
  <si>
    <t>ORD-1116</t>
  </si>
  <si>
    <t>ORD-1087</t>
  </si>
  <si>
    <t>ORD-1063</t>
  </si>
  <si>
    <t>ORD-1065</t>
  </si>
  <si>
    <t>ORD-1027</t>
  </si>
  <si>
    <t>ORD-1042</t>
  </si>
  <si>
    <t>ORD-1053</t>
  </si>
  <si>
    <t>ORD-1163</t>
  </si>
  <si>
    <t>ORD-1194</t>
  </si>
  <si>
    <t>ORD-1082</t>
  </si>
  <si>
    <t>ORD-1008</t>
  </si>
  <si>
    <t>ORD-1092</t>
  </si>
  <si>
    <t>ORD-1196</t>
  </si>
  <si>
    <t>ORD-1148</t>
  </si>
  <si>
    <t>ORD-1071</t>
  </si>
  <si>
    <t>ORD-1216</t>
  </si>
  <si>
    <t>ORD-1167</t>
  </si>
  <si>
    <t>ORD-1009</t>
  </si>
  <si>
    <t>ORD-1117</t>
  </si>
  <si>
    <t>ORD-1080</t>
  </si>
  <si>
    <t>ORD-1139</t>
  </si>
  <si>
    <t>ORD-1215</t>
  </si>
  <si>
    <t>ORD-1030</t>
  </si>
  <si>
    <t>ORD-1004</t>
  </si>
  <si>
    <t>ORD-1040</t>
  </si>
  <si>
    <t>ORD-1051</t>
  </si>
  <si>
    <t>ORD-1078</t>
  </si>
  <si>
    <t>ORD-1183</t>
  </si>
  <si>
    <t>ORD-1112</t>
  </si>
  <si>
    <t>ORD-1129</t>
  </si>
  <si>
    <t>ORD-1055</t>
  </si>
  <si>
    <t>ORD-1123</t>
  </si>
  <si>
    <t>ORD-1091</t>
  </si>
  <si>
    <t>ORD-1190</t>
  </si>
  <si>
    <t>ORD-1044</t>
  </si>
  <si>
    <t>ORD-1158</t>
  </si>
  <si>
    <t>ORD-1049</t>
  </si>
  <si>
    <t>ORD-1169</t>
  </si>
  <si>
    <t>ORD-1060</t>
  </si>
  <si>
    <t>ORD-1054</t>
  </si>
  <si>
    <t>ORD-1021</t>
  </si>
  <si>
    <t>ORD-1125</t>
  </si>
  <si>
    <t>ORD-1211</t>
  </si>
  <si>
    <t>ORD-1146</t>
  </si>
  <si>
    <t>ORD-1077</t>
  </si>
  <si>
    <t>ORD-1191</t>
  </si>
  <si>
    <t>ORD-1108</t>
  </si>
  <si>
    <t>ORD-1175</t>
  </si>
  <si>
    <t>ORD-1013</t>
  </si>
  <si>
    <t>ORD-1017</t>
  </si>
  <si>
    <t>ORD-1048</t>
  </si>
  <si>
    <t>ORD-1162</t>
  </si>
  <si>
    <t>ORD-1120</t>
  </si>
  <si>
    <t>ORD-1022</t>
  </si>
  <si>
    <t>ORD-1147</t>
  </si>
  <si>
    <t>ORD-1181</t>
  </si>
  <si>
    <t>ORD-1131</t>
  </si>
  <si>
    <t>ORD-1205</t>
  </si>
  <si>
    <t>ORD-1074</t>
  </si>
  <si>
    <t>ORD-1031</t>
  </si>
  <si>
    <t>ORD-1161</t>
  </si>
  <si>
    <t>ORD-1034</t>
  </si>
  <si>
    <t>ORD-1185</t>
  </si>
  <si>
    <t>ORD-1156</t>
  </si>
  <si>
    <t>ORD-1198</t>
  </si>
  <si>
    <t>ORD-1124</t>
  </si>
  <si>
    <t>ORD-1101</t>
  </si>
  <si>
    <t>ORD-1150</t>
  </si>
  <si>
    <t>ORD-1174</t>
  </si>
  <si>
    <t>ORD-1219</t>
  </si>
  <si>
    <t>ORD-1204</t>
  </si>
  <si>
    <t>ORD-1062</t>
  </si>
  <si>
    <t>ORD-1036</t>
  </si>
  <si>
    <t>ORD-1011</t>
  </si>
  <si>
    <t>ORD-1214</t>
  </si>
  <si>
    <t>ORD-1072</t>
  </si>
  <si>
    <t>ORD-1217</t>
  </si>
  <si>
    <t>ORD-1203</t>
  </si>
  <si>
    <t>ORD-1094</t>
  </si>
  <si>
    <t>ORD-1160</t>
  </si>
  <si>
    <t>ORD-1119</t>
  </si>
  <si>
    <t>ORD-1145</t>
  </si>
  <si>
    <t>ORD-1002</t>
  </si>
  <si>
    <t>ORD-1206</t>
  </si>
  <si>
    <t>ORD-1084</t>
  </si>
  <si>
    <t>ORD-1213</t>
  </si>
  <si>
    <t>ORD-1088</t>
  </si>
  <si>
    <t>ORD-1138</t>
  </si>
  <si>
    <t>ORD-1005</t>
  </si>
  <si>
    <t>ORD-1039</t>
  </si>
  <si>
    <t>ORD-1193</t>
  </si>
  <si>
    <t>ORD-1113</t>
  </si>
  <si>
    <t>ORD-1182</t>
  </si>
  <si>
    <t>ORD-1184</t>
  </si>
  <si>
    <t>ORD-1153</t>
  </si>
  <si>
    <t>ORD-1057</t>
  </si>
  <si>
    <t>ORD-1070</t>
  </si>
  <si>
    <t>ORD-1192</t>
  </si>
  <si>
    <t>ORD-1045</t>
  </si>
  <si>
    <t>ORD-1189</t>
  </si>
  <si>
    <t>ORD-1020</t>
  </si>
  <si>
    <t>ORD-1007</t>
  </si>
  <si>
    <t>ORD-1056</t>
  </si>
  <si>
    <t>ORD-1076</t>
  </si>
  <si>
    <t>ORD-1001</t>
  </si>
  <si>
    <t>ORD-1173</t>
  </si>
  <si>
    <t>ORD-1136</t>
  </si>
  <si>
    <t>ORD-1128</t>
  </si>
  <si>
    <t>ORD-1177</t>
  </si>
  <si>
    <t>ORD-1069</t>
  </si>
  <si>
    <t>ORD-1168</t>
  </si>
  <si>
    <t>ORD-1137</t>
  </si>
  <si>
    <t>ORD-1043</t>
  </si>
  <si>
    <t>ORD-1111</t>
  </si>
  <si>
    <t>ORD-1090</t>
  </si>
  <si>
    <t>ORD-1073</t>
  </si>
  <si>
    <t>ORD-1024</t>
  </si>
  <si>
    <t>ORD-1143</t>
  </si>
  <si>
    <t>ORD-1186</t>
  </si>
  <si>
    <t>ORD-1093</t>
  </si>
  <si>
    <t>ORD-1104</t>
  </si>
  <si>
    <t>ORD-1152</t>
  </si>
  <si>
    <t>ORD-1212</t>
  </si>
  <si>
    <t>ORD-1068</t>
  </si>
  <si>
    <t>ORD-1026</t>
  </si>
  <si>
    <t>ORD-1197</t>
  </si>
  <si>
    <t>ORD-1176</t>
  </si>
  <si>
    <t>tidak perlu di hapus, namun diganti dengan NN</t>
  </si>
  <si>
    <t>Sort by date dulu untuk mengetahui apakah duplikat order ID ada di tanggal, wilayah,segmen pelanggan yang sama. Jika iya maka hapus salah satu (hapus order ID yang kedua)</t>
  </si>
  <si>
    <t>Nn</t>
  </si>
  <si>
    <t>pakai rumus proper()</t>
  </si>
  <si>
    <t>hargasatuan</t>
  </si>
  <si>
    <t>rentangdate</t>
  </si>
  <si>
    <t>totalpenjualan</t>
  </si>
  <si>
    <t>tidak ditemukan anomali</t>
  </si>
  <si>
    <t>Total Penjualan</t>
  </si>
  <si>
    <t>Total Unit Terjual</t>
  </si>
  <si>
    <t>Bulan</t>
  </si>
  <si>
    <t>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</si>
</sst>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Rp&quot;#,##0"/>
    <numFmt numFmtId="165" formatCode="yyyy\-mm\-dd;@"/>
  </numFmts>
  <fonts count="14" x14ac:knownFonts="1">
    <font>
      <sz val="11"/>
      <color theme="1"/>
      <name val="Calibri"/>
      <family val="2"/>
      <charset val="1"/>
    </font>
    <font>
      <b/>
      <sz val="16"/>
      <color rgb="FF1F4E78"/>
      <name val="Arial"/>
      <charset val="1"/>
    </font>
    <font>
      <i/>
      <sz val="10"/>
      <color rgb="FF7F7F7F"/>
      <name val="Arial"/>
      <charset val="1"/>
    </font>
    <font>
      <b/>
      <sz val="12"/>
      <color rgb="FFFFFFFF"/>
      <name val="Arial"/>
      <charset val="1"/>
    </font>
    <font>
      <sz val="10.5"/>
      <name val="Arial"/>
      <charset val="1"/>
    </font>
    <font>
      <b/>
      <sz val="11"/>
      <color rgb="FF1F4E78"/>
      <name val="Arial"/>
      <charset val="1"/>
    </font>
    <font>
      <b/>
      <sz val="11"/>
      <color rgb="FFFFFFFF"/>
      <name val="Arial"/>
      <charset val="1"/>
    </font>
    <font>
      <sz val="10"/>
      <name val="Arial"/>
      <charset val="1"/>
    </font>
    <font>
      <sz val="10"/>
      <name val="Arial"/>
      <family val="2"/>
    </font>
    <font>
      <b/>
      <sz val="11"/>
      <color rgb="FFFFFFFF"/>
      <name val="Arial"/>
      <family val="2"/>
    </font>
    <font>
      <sz val="11"/>
      <name val="Arial"/>
      <family val="2"/>
    </font>
    <font>
      <sz val="10.5"/>
      <name val="Arial"/>
      <family val="2"/>
    </font>
    <font>
      <sz val="11"/>
      <color rgb="FF52514E"/>
      <name val="Segoe UI"/>
      <family val="2"/>
    </font>
    <font>
      <sz val="8"/>
      <name val="Calibri"/>
      <family val="2"/>
      <charset val="1"/>
    </font>
  </fonts>
  <fills count="4">
    <fill>
      <patternFill patternType="none"/>
    </fill>
    <fill>
      <patternFill patternType="gray125"/>
    </fill>
    <fill>
      <patternFill patternType="solid">
        <fgColor rgb="FF1F4E78"/>
        <bgColor rgb="FF003366"/>
      </patternFill>
    </fill>
    <fill>
      <patternFill patternType="solid">
        <fgColor rgb="FFFFF2CC"/>
        <bgColor rgb="FFFFFFFF"/>
      </patternFill>
    </fill>
  </fills>
  <borders count="4">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
      <left style="thin">
        <color rgb="FFD9D9D9"/>
      </left>
      <right/>
      <top/>
      <bottom/>
      <diagonal/>
    </border>
  </borders>
  <cellStyleXfs count="1">
    <xf numFmtId="0" fontId="0" fillId="0" borderId="0"/>
  </cellStyleXfs>
  <cellXfs count="31">
    <xf numFmtId="0" fontId="0" fillId="0" borderId="0" xfId="0"/>
    <xf numFmtId="0" fontId="1" fillId="0" borderId="0" xfId="0" applyFont="1" applyAlignment="1">
      <alignment vertical="top"/>
    </xf>
    <xf numFmtId="0" fontId="2" fillId="0" borderId="0" xfId="0" applyFont="1" applyAlignment="1">
      <alignment vertical="top"/>
    </xf>
    <xf numFmtId="0" fontId="0" fillId="2" borderId="0" xfId="0" applyFill="1"/>
    <xf numFmtId="0" fontId="3" fillId="2" borderId="0" xfId="0" applyFont="1" applyFill="1" applyAlignment="1">
      <alignment vertical="top"/>
    </xf>
    <xf numFmtId="0" fontId="4" fillId="0" borderId="0" xfId="0" applyFont="1" applyAlignment="1">
      <alignment vertical="top" wrapText="1"/>
    </xf>
    <xf numFmtId="0" fontId="5" fillId="0" borderId="0" xfId="0" applyFont="1" applyAlignment="1">
      <alignment vertical="top"/>
    </xf>
    <xf numFmtId="0" fontId="2" fillId="0" borderId="0" xfId="0" applyFont="1" applyAlignment="1">
      <alignment vertical="top" wrapText="1"/>
    </xf>
    <xf numFmtId="0" fontId="6" fillId="2" borderId="1" xfId="0" applyFont="1" applyFill="1" applyBorder="1" applyAlignment="1">
      <alignment horizontal="center" vertical="center"/>
    </xf>
    <xf numFmtId="0" fontId="7" fillId="0" borderId="1" xfId="0" applyFont="1" applyBorder="1" applyAlignment="1">
      <alignment vertical="center"/>
    </xf>
    <xf numFmtId="164" fontId="7" fillId="0" borderId="1" xfId="0" applyNumberFormat="1" applyFont="1" applyBorder="1" applyAlignment="1">
      <alignment vertical="center"/>
    </xf>
    <xf numFmtId="0" fontId="7" fillId="3" borderId="1" xfId="0" applyFont="1" applyFill="1" applyBorder="1" applyAlignment="1">
      <alignment vertical="center"/>
    </xf>
    <xf numFmtId="0" fontId="0" fillId="0" borderId="0" xfId="0" applyAlignment="1">
      <alignment vertical="center" wrapText="1"/>
    </xf>
    <xf numFmtId="0" fontId="0" fillId="0" borderId="0" xfId="0" applyAlignment="1">
      <alignment vertical="center"/>
    </xf>
    <xf numFmtId="0" fontId="9" fillId="2" borderId="1" xfId="0" applyFont="1" applyFill="1" applyBorder="1" applyAlignment="1">
      <alignment horizontal="center" vertical="center"/>
    </xf>
    <xf numFmtId="0" fontId="10" fillId="0" borderId="1" xfId="0" applyFont="1" applyBorder="1" applyAlignment="1">
      <alignment vertical="center"/>
    </xf>
    <xf numFmtId="0" fontId="10" fillId="3" borderId="1" xfId="0" applyFont="1" applyFill="1" applyBorder="1" applyAlignment="1">
      <alignment vertical="center"/>
    </xf>
    <xf numFmtId="0" fontId="10" fillId="0" borderId="2" xfId="0" applyFont="1" applyBorder="1" applyAlignment="1">
      <alignment vertical="center"/>
    </xf>
    <xf numFmtId="0" fontId="8" fillId="0" borderId="2" xfId="0" applyFont="1" applyBorder="1" applyAlignment="1">
      <alignment vertical="center"/>
    </xf>
    <xf numFmtId="0" fontId="11" fillId="0" borderId="0" xfId="0" applyFont="1" applyAlignment="1">
      <alignment vertical="top" wrapText="1"/>
    </xf>
    <xf numFmtId="0" fontId="12" fillId="0" borderId="0" xfId="0" applyFont="1"/>
    <xf numFmtId="165" fontId="7" fillId="0" borderId="1" xfId="0" applyNumberFormat="1" applyFont="1" applyBorder="1" applyAlignment="1">
      <alignment vertical="center"/>
    </xf>
    <xf numFmtId="14" fontId="6" fillId="2" borderId="1" xfId="0" applyNumberFormat="1" applyFont="1" applyFill="1" applyBorder="1" applyAlignment="1">
      <alignment horizontal="center" vertical="center"/>
    </xf>
    <xf numFmtId="14" fontId="0" fillId="0" borderId="0" xfId="0" applyNumberFormat="1"/>
    <xf numFmtId="0" fontId="9" fillId="2" borderId="3" xfId="0" applyFont="1" applyFill="1" applyBorder="1" applyAlignment="1">
      <alignment horizontal="center" vertical="center"/>
    </xf>
    <xf numFmtId="0" fontId="9" fillId="2" borderId="0" xfId="0" applyFont="1" applyFill="1" applyAlignment="1">
      <alignment horizontal="center" vertical="center"/>
    </xf>
    <xf numFmtId="0" fontId="9" fillId="2" borderId="0" xfId="0" applyFont="1" applyFill="1" applyAlignment="1">
      <alignment horizontal="center" vertical="center" wrapText="1"/>
    </xf>
    <xf numFmtId="0" fontId="0" fillId="0" borderId="0" xfId="0" applyAlignment="1">
      <alignment wrapText="1"/>
    </xf>
    <xf numFmtId="0" fontId="10" fillId="0" borderId="0" xfId="0" applyFont="1" applyAlignment="1">
      <alignment vertical="center" wrapText="1"/>
    </xf>
    <xf numFmtId="164" fontId="0" fillId="0" borderId="0" xfId="0" applyNumberFormat="1"/>
    <xf numFmtId="1" fontId="0" fillId="0" borderId="0" xfId="0" applyNumberFormat="1"/>
  </cellXfs>
  <cellStyles count="1">
    <cellStyle name="Normal" xfId="0" builtinId="0"/>
  </cellStyles>
  <dxfs count="1">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2"/>
  <sheetViews>
    <sheetView topLeftCell="A34" zoomScaleNormal="100" workbookViewId="0">
      <selection activeCell="D38" sqref="D38"/>
    </sheetView>
  </sheetViews>
  <sheetFormatPr defaultColWidth="8.7109375" defaultRowHeight="15" x14ac:dyDescent="0.25"/>
  <cols>
    <col min="1" max="1" width="3" customWidth="1"/>
    <col min="2" max="2" width="100" customWidth="1"/>
    <col min="4" max="4" width="55.85546875" customWidth="1"/>
  </cols>
  <sheetData>
    <row r="1" spans="1:2" ht="20.25" x14ac:dyDescent="0.25">
      <c r="B1" s="1" t="s">
        <v>0</v>
      </c>
    </row>
    <row r="2" spans="1:2" x14ac:dyDescent="0.25">
      <c r="B2" s="2" t="s">
        <v>1</v>
      </c>
    </row>
    <row r="4" spans="1:2" ht="19.5" customHeight="1" x14ac:dyDescent="0.25">
      <c r="A4" s="3"/>
      <c r="B4" s="4" t="s">
        <v>2</v>
      </c>
    </row>
    <row r="6" spans="1:2" ht="67.5" x14ac:dyDescent="0.25">
      <c r="B6" s="5" t="s">
        <v>3</v>
      </c>
    </row>
    <row r="8" spans="1:2" ht="19.5" customHeight="1" x14ac:dyDescent="0.25">
      <c r="A8" s="3"/>
      <c r="B8" s="4" t="s">
        <v>4</v>
      </c>
    </row>
    <row r="10" spans="1:2" ht="40.5" x14ac:dyDescent="0.25">
      <c r="B10" s="5" t="s">
        <v>5</v>
      </c>
    </row>
    <row r="12" spans="1:2" ht="19.5" customHeight="1" x14ac:dyDescent="0.25">
      <c r="A12" s="3"/>
      <c r="B12" s="4" t="s">
        <v>6</v>
      </c>
    </row>
    <row r="14" spans="1:2" x14ac:dyDescent="0.25">
      <c r="B14" s="5" t="s">
        <v>7</v>
      </c>
    </row>
    <row r="15" spans="1:2" x14ac:dyDescent="0.25">
      <c r="B15" s="5" t="s">
        <v>8</v>
      </c>
    </row>
    <row r="16" spans="1:2" x14ac:dyDescent="0.25">
      <c r="B16" s="5" t="s">
        <v>9</v>
      </c>
    </row>
    <row r="17" spans="1:4" x14ac:dyDescent="0.25">
      <c r="B17" s="5" t="s">
        <v>10</v>
      </c>
    </row>
    <row r="18" spans="1:4" x14ac:dyDescent="0.25">
      <c r="B18" s="5" t="s">
        <v>11</v>
      </c>
    </row>
    <row r="19" spans="1:4" x14ac:dyDescent="0.25">
      <c r="B19" s="5" t="s">
        <v>12</v>
      </c>
    </row>
    <row r="20" spans="1:4" x14ac:dyDescent="0.25">
      <c r="B20" s="5" t="s">
        <v>13</v>
      </c>
    </row>
    <row r="21" spans="1:4" x14ac:dyDescent="0.25">
      <c r="B21" s="5" t="s">
        <v>14</v>
      </c>
    </row>
    <row r="22" spans="1:4" x14ac:dyDescent="0.25">
      <c r="B22" s="5" t="s">
        <v>15</v>
      </c>
    </row>
    <row r="23" spans="1:4" x14ac:dyDescent="0.25">
      <c r="B23" s="5" t="s">
        <v>16</v>
      </c>
    </row>
    <row r="25" spans="1:4" ht="19.5" customHeight="1" x14ac:dyDescent="0.25">
      <c r="A25" s="3"/>
      <c r="B25" s="4" t="s">
        <v>17</v>
      </c>
    </row>
    <row r="27" spans="1:4" x14ac:dyDescent="0.25">
      <c r="B27" s="6" t="s">
        <v>18</v>
      </c>
    </row>
    <row r="28" spans="1:4" ht="40.5" x14ac:dyDescent="0.25">
      <c r="B28" s="5" t="s">
        <v>19</v>
      </c>
      <c r="D28" s="12" t="s">
        <v>333</v>
      </c>
    </row>
    <row r="29" spans="1:4" ht="45" x14ac:dyDescent="0.25">
      <c r="B29" s="5" t="s">
        <v>20</v>
      </c>
      <c r="D29" s="12" t="s">
        <v>334</v>
      </c>
    </row>
    <row r="30" spans="1:4" ht="27" x14ac:dyDescent="0.25">
      <c r="B30" s="5" t="s">
        <v>21</v>
      </c>
      <c r="D30" s="13" t="s">
        <v>336</v>
      </c>
    </row>
    <row r="31" spans="1:4" ht="27" x14ac:dyDescent="0.25">
      <c r="B31" s="19" t="s">
        <v>22</v>
      </c>
      <c r="D31" s="13" t="s">
        <v>340</v>
      </c>
    </row>
    <row r="32" spans="1:4" ht="27" x14ac:dyDescent="0.25">
      <c r="B32" s="5" t="s">
        <v>23</v>
      </c>
    </row>
    <row r="34" spans="2:4" x14ac:dyDescent="0.25">
      <c r="B34" s="6" t="s">
        <v>24</v>
      </c>
    </row>
    <row r="35" spans="2:4" x14ac:dyDescent="0.25">
      <c r="B35" s="5" t="s">
        <v>25</v>
      </c>
      <c r="D35" t="s">
        <v>344</v>
      </c>
    </row>
    <row r="36" spans="2:4" ht="27" x14ac:dyDescent="0.25">
      <c r="B36" s="5" t="s">
        <v>26</v>
      </c>
      <c r="D36" t="s">
        <v>344</v>
      </c>
    </row>
    <row r="37" spans="2:4" ht="27" x14ac:dyDescent="0.25">
      <c r="B37" s="5" t="s">
        <v>27</v>
      </c>
      <c r="D37" t="s">
        <v>344</v>
      </c>
    </row>
    <row r="38" spans="2:4" ht="27" x14ac:dyDescent="0.25">
      <c r="B38" s="5" t="s">
        <v>28</v>
      </c>
    </row>
    <row r="39" spans="2:4" ht="27" x14ac:dyDescent="0.25">
      <c r="B39" s="5" t="s">
        <v>29</v>
      </c>
    </row>
    <row r="40" spans="2:4" ht="27" x14ac:dyDescent="0.25">
      <c r="B40" s="5" t="s">
        <v>30</v>
      </c>
    </row>
    <row r="42" spans="2:4" x14ac:dyDescent="0.25">
      <c r="B42" s="6" t="s">
        <v>31</v>
      </c>
    </row>
    <row r="43" spans="2:4" ht="27" x14ac:dyDescent="0.25">
      <c r="B43" s="5" t="s">
        <v>32</v>
      </c>
    </row>
    <row r="44" spans="2:4" ht="40.5" x14ac:dyDescent="0.25">
      <c r="B44" s="5" t="s">
        <v>33</v>
      </c>
    </row>
    <row r="45" spans="2:4" ht="27" x14ac:dyDescent="0.25">
      <c r="B45" s="5" t="s">
        <v>34</v>
      </c>
    </row>
    <row r="46" spans="2:4" ht="40.5" x14ac:dyDescent="0.25">
      <c r="B46" s="5" t="s">
        <v>35</v>
      </c>
    </row>
    <row r="47" spans="2:4" ht="27" x14ac:dyDescent="0.25">
      <c r="B47" s="5" t="s">
        <v>36</v>
      </c>
    </row>
    <row r="49" spans="1:2" x14ac:dyDescent="0.25">
      <c r="B49" s="6" t="s">
        <v>37</v>
      </c>
    </row>
    <row r="50" spans="1:2" ht="40.5" x14ac:dyDescent="0.25">
      <c r="B50" s="5" t="s">
        <v>38</v>
      </c>
    </row>
    <row r="51" spans="1:2" ht="27" x14ac:dyDescent="0.25">
      <c r="B51" s="5" t="s">
        <v>39</v>
      </c>
    </row>
    <row r="52" spans="1:2" ht="27" x14ac:dyDescent="0.25">
      <c r="B52" s="5" t="s">
        <v>40</v>
      </c>
    </row>
    <row r="54" spans="1:2" ht="19.5" customHeight="1" x14ac:dyDescent="0.25">
      <c r="A54" s="3"/>
      <c r="B54" s="4" t="s">
        <v>41</v>
      </c>
    </row>
    <row r="56" spans="1:2" ht="27" x14ac:dyDescent="0.25">
      <c r="B56" s="5" t="s">
        <v>42</v>
      </c>
    </row>
    <row r="57" spans="1:2" x14ac:dyDescent="0.25">
      <c r="B57" s="5" t="s">
        <v>43</v>
      </c>
    </row>
    <row r="58" spans="1:2" ht="27" x14ac:dyDescent="0.25">
      <c r="B58" s="5" t="s">
        <v>44</v>
      </c>
    </row>
    <row r="59" spans="1:2" ht="27" x14ac:dyDescent="0.25">
      <c r="B59" s="5" t="s">
        <v>45</v>
      </c>
    </row>
    <row r="60" spans="1:2" x14ac:dyDescent="0.25">
      <c r="B60" s="5" t="s">
        <v>46</v>
      </c>
    </row>
    <row r="61" spans="1:2" ht="27" x14ac:dyDescent="0.25">
      <c r="B61" s="5" t="s">
        <v>47</v>
      </c>
    </row>
    <row r="63" spans="1:2" ht="19.5" customHeight="1" x14ac:dyDescent="0.25">
      <c r="A63" s="3"/>
      <c r="B63" s="4" t="s">
        <v>48</v>
      </c>
    </row>
    <row r="65" spans="2:2" x14ac:dyDescent="0.25">
      <c r="B65" s="5" t="s">
        <v>49</v>
      </c>
    </row>
    <row r="66" spans="2:2" x14ac:dyDescent="0.25">
      <c r="B66" s="5" t="s">
        <v>50</v>
      </c>
    </row>
    <row r="67" spans="2:2" x14ac:dyDescent="0.25">
      <c r="B67" s="5" t="s">
        <v>51</v>
      </c>
    </row>
    <row r="68" spans="2:2" x14ac:dyDescent="0.25">
      <c r="B68" s="5" t="s">
        <v>52</v>
      </c>
    </row>
    <row r="69" spans="2:2" x14ac:dyDescent="0.25">
      <c r="B69" s="5" t="s">
        <v>53</v>
      </c>
    </row>
    <row r="70" spans="2:2" x14ac:dyDescent="0.25">
      <c r="B70" s="5" t="s">
        <v>54</v>
      </c>
    </row>
    <row r="72" spans="2:2" ht="25.5" x14ac:dyDescent="0.25">
      <c r="B72" s="7" t="s">
        <v>55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25"/>
  <sheetViews>
    <sheetView tabSelected="1" zoomScaleNormal="100" workbookViewId="0">
      <pane ySplit="1" topLeftCell="A2" activePane="bottomLeft" state="frozen"/>
      <selection pane="bottomLeft" activeCell="E2" sqref="E2"/>
    </sheetView>
  </sheetViews>
  <sheetFormatPr defaultColWidth="8.7109375" defaultRowHeight="15" x14ac:dyDescent="0.25"/>
  <cols>
    <col min="1" max="1" width="12" customWidth="1"/>
    <col min="2" max="2" width="14" style="23" customWidth="1"/>
    <col min="3" max="3" width="12" customWidth="1"/>
    <col min="4" max="4" width="15" customWidth="1"/>
    <col min="5" max="5" width="22" customWidth="1"/>
    <col min="6" max="6" width="9" customWidth="1"/>
    <col min="7" max="7" width="14" customWidth="1"/>
    <col min="8" max="8" width="15" customWidth="1"/>
    <col min="9" max="9" width="18" customWidth="1"/>
    <col min="10" max="10" width="15" customWidth="1"/>
    <col min="13" max="13" width="13.7109375" customWidth="1"/>
    <col min="14" max="14" width="18.140625" customWidth="1"/>
  </cols>
  <sheetData>
    <row r="1" spans="1:16" ht="15" customHeight="1" x14ac:dyDescent="0.25">
      <c r="A1" s="8" t="s">
        <v>56</v>
      </c>
      <c r="B1" s="22" t="s">
        <v>57</v>
      </c>
      <c r="C1" s="14" t="s">
        <v>58</v>
      </c>
      <c r="D1" s="8" t="s">
        <v>59</v>
      </c>
      <c r="E1" s="8" t="s">
        <v>60</v>
      </c>
      <c r="F1" s="8" t="s">
        <v>61</v>
      </c>
      <c r="G1" s="8" t="s">
        <v>62</v>
      </c>
      <c r="H1" s="8" t="s">
        <v>63</v>
      </c>
      <c r="I1" s="8" t="s">
        <v>64</v>
      </c>
      <c r="J1" s="8" t="s">
        <v>65</v>
      </c>
      <c r="K1" t="s">
        <v>343</v>
      </c>
      <c r="M1" s="24" t="s">
        <v>61</v>
      </c>
      <c r="N1" s="26" t="s">
        <v>337</v>
      </c>
      <c r="O1" s="25" t="s">
        <v>338</v>
      </c>
      <c r="P1" s="27" t="s">
        <v>339</v>
      </c>
    </row>
    <row r="2" spans="1:16" ht="15" customHeight="1" x14ac:dyDescent="0.3">
      <c r="A2" s="9" t="s">
        <v>146</v>
      </c>
      <c r="B2" s="21">
        <v>45661</v>
      </c>
      <c r="C2" s="15" t="s">
        <v>72</v>
      </c>
      <c r="D2" s="9" t="s">
        <v>73</v>
      </c>
      <c r="E2" s="9" t="s">
        <v>78</v>
      </c>
      <c r="F2" s="9">
        <v>15</v>
      </c>
      <c r="G2" s="10">
        <v>58000</v>
      </c>
      <c r="H2" s="10">
        <f t="shared" ref="H2:H65" si="0">F2*G2</f>
        <v>870000</v>
      </c>
      <c r="I2" s="9" t="s">
        <v>93</v>
      </c>
      <c r="J2" s="9" t="s">
        <v>70</v>
      </c>
      <c r="K2" t="str">
        <f t="shared" ref="K2:K65" si="1">TEXT(B2,"MMMM")</f>
        <v>January</v>
      </c>
      <c r="M2" t="b">
        <f>ISNUMBER(F2)</f>
        <v>1</v>
      </c>
      <c r="N2" s="20">
        <f>VALUE(SUBSTITUTE(SUBSTITUTE(G2,"Rp",""),",",""))</f>
        <v>58000</v>
      </c>
      <c r="O2" s="20" t="b">
        <f>AND(B2&gt;=DATE(2025,1,1), B2&lt;=DATE(2025,12,31))</f>
        <v>1</v>
      </c>
      <c r="P2" t="b">
        <f>ROUND(F2*G2,0)=ROUND(H2,0)</f>
        <v>1</v>
      </c>
    </row>
    <row r="3" spans="1:16" ht="15" customHeight="1" x14ac:dyDescent="0.3">
      <c r="A3" s="9" t="s">
        <v>281</v>
      </c>
      <c r="B3" s="21">
        <v>45664</v>
      </c>
      <c r="C3" s="15" t="s">
        <v>101</v>
      </c>
      <c r="D3" s="9" t="s">
        <v>111</v>
      </c>
      <c r="E3" s="9" t="s">
        <v>112</v>
      </c>
      <c r="F3" s="9">
        <v>16</v>
      </c>
      <c r="G3" s="10">
        <v>38000</v>
      </c>
      <c r="H3" s="10">
        <f t="shared" si="0"/>
        <v>608000</v>
      </c>
      <c r="I3" s="9" t="s">
        <v>89</v>
      </c>
      <c r="J3" s="9" t="s">
        <v>70</v>
      </c>
      <c r="K3" t="str">
        <f t="shared" si="1"/>
        <v>January</v>
      </c>
      <c r="M3" t="b">
        <f t="shared" ref="M3:M66" si="2">ISNUMBER(F3)</f>
        <v>1</v>
      </c>
      <c r="N3" s="20">
        <f t="shared" ref="N3:N66" si="3">VALUE(SUBSTITUTE(SUBSTITUTE(G3,"Rp",""),",",""))</f>
        <v>38000</v>
      </c>
      <c r="O3" s="20" t="b">
        <f t="shared" ref="O3:O66" si="4">AND(B3&gt;=DATE(2025,1,1), B3&lt;=DATE(2025,12,31))</f>
        <v>1</v>
      </c>
      <c r="P3" t="b">
        <f t="shared" ref="P3:P66" si="5">ROUND(F3*G3,0)=ROUND(H3,0)</f>
        <v>1</v>
      </c>
    </row>
    <row r="4" spans="1:16" ht="15" customHeight="1" x14ac:dyDescent="0.3">
      <c r="A4" s="9" t="s">
        <v>207</v>
      </c>
      <c r="B4" s="21">
        <v>45665</v>
      </c>
      <c r="C4" s="15" t="s">
        <v>107</v>
      </c>
      <c r="D4" s="9" t="s">
        <v>73</v>
      </c>
      <c r="E4" s="9" t="s">
        <v>109</v>
      </c>
      <c r="F4" s="9">
        <v>8</v>
      </c>
      <c r="G4" s="10">
        <v>35000</v>
      </c>
      <c r="H4" s="10">
        <f t="shared" si="0"/>
        <v>280000</v>
      </c>
      <c r="I4" s="9" t="s">
        <v>82</v>
      </c>
      <c r="J4" s="9" t="s">
        <v>70</v>
      </c>
      <c r="K4" t="str">
        <f t="shared" si="1"/>
        <v>January</v>
      </c>
      <c r="M4" t="b">
        <f t="shared" si="2"/>
        <v>1</v>
      </c>
      <c r="N4" s="20">
        <f t="shared" si="3"/>
        <v>35000</v>
      </c>
      <c r="O4" s="20" t="b">
        <f t="shared" si="4"/>
        <v>1</v>
      </c>
      <c r="P4" t="b">
        <f t="shared" si="5"/>
        <v>1</v>
      </c>
    </row>
    <row r="5" spans="1:16" ht="15" customHeight="1" x14ac:dyDescent="0.3">
      <c r="A5" s="9" t="s">
        <v>197</v>
      </c>
      <c r="B5" s="21">
        <v>45666</v>
      </c>
      <c r="C5" s="15" t="s">
        <v>98</v>
      </c>
      <c r="D5" s="9" t="s">
        <v>111</v>
      </c>
      <c r="E5" s="9" t="s">
        <v>114</v>
      </c>
      <c r="F5" s="9">
        <v>5</v>
      </c>
      <c r="G5" s="10">
        <v>82000</v>
      </c>
      <c r="H5" s="10">
        <f t="shared" si="0"/>
        <v>410000</v>
      </c>
      <c r="I5" s="9" t="s">
        <v>69</v>
      </c>
      <c r="J5" s="9" t="s">
        <v>70</v>
      </c>
      <c r="K5" t="str">
        <f t="shared" si="1"/>
        <v>January</v>
      </c>
      <c r="M5" t="b">
        <f t="shared" si="2"/>
        <v>1</v>
      </c>
      <c r="N5" s="20">
        <f t="shared" si="3"/>
        <v>82000</v>
      </c>
      <c r="O5" s="20" t="b">
        <f t="shared" si="4"/>
        <v>1</v>
      </c>
      <c r="P5" t="b">
        <f t="shared" si="5"/>
        <v>1</v>
      </c>
    </row>
    <row r="6" spans="1:16" ht="15" customHeight="1" x14ac:dyDescent="0.3">
      <c r="A6" s="9" t="s">
        <v>251</v>
      </c>
      <c r="B6" s="21">
        <v>45666</v>
      </c>
      <c r="C6" s="15" t="s">
        <v>136</v>
      </c>
      <c r="D6" s="9" t="s">
        <v>111</v>
      </c>
      <c r="E6" s="9" t="s">
        <v>114</v>
      </c>
      <c r="F6" s="9">
        <v>14</v>
      </c>
      <c r="G6" s="10">
        <v>116000</v>
      </c>
      <c r="H6" s="10">
        <f t="shared" si="0"/>
        <v>1624000</v>
      </c>
      <c r="I6" s="9" t="s">
        <v>89</v>
      </c>
      <c r="J6" s="9" t="s">
        <v>70</v>
      </c>
      <c r="K6" t="str">
        <f t="shared" si="1"/>
        <v>January</v>
      </c>
      <c r="M6" t="b">
        <f t="shared" si="2"/>
        <v>1</v>
      </c>
      <c r="N6" s="20">
        <f t="shared" si="3"/>
        <v>116000</v>
      </c>
      <c r="O6" s="20" t="b">
        <f t="shared" si="4"/>
        <v>1</v>
      </c>
      <c r="P6" t="b">
        <f t="shared" si="5"/>
        <v>1</v>
      </c>
    </row>
    <row r="7" spans="1:16" ht="15" customHeight="1" x14ac:dyDescent="0.3">
      <c r="A7" s="9" t="s">
        <v>269</v>
      </c>
      <c r="B7" s="21">
        <v>45666</v>
      </c>
      <c r="C7" s="15" t="s">
        <v>107</v>
      </c>
      <c r="D7" s="9" t="s">
        <v>104</v>
      </c>
      <c r="E7" s="9" t="s">
        <v>122</v>
      </c>
      <c r="F7" s="9">
        <v>23</v>
      </c>
      <c r="G7" s="10">
        <v>108000</v>
      </c>
      <c r="H7" s="10">
        <f t="shared" si="0"/>
        <v>2484000</v>
      </c>
      <c r="I7" s="9" t="s">
        <v>75</v>
      </c>
      <c r="J7" s="9" t="s">
        <v>70</v>
      </c>
      <c r="K7" t="str">
        <f t="shared" si="1"/>
        <v>January</v>
      </c>
      <c r="M7" t="b">
        <f t="shared" si="2"/>
        <v>1</v>
      </c>
      <c r="N7" s="20">
        <f t="shared" si="3"/>
        <v>108000</v>
      </c>
      <c r="O7" s="20" t="b">
        <f t="shared" si="4"/>
        <v>1</v>
      </c>
      <c r="P7" t="b">
        <f t="shared" si="5"/>
        <v>1</v>
      </c>
    </row>
    <row r="8" spans="1:16" ht="15" customHeight="1" x14ac:dyDescent="0.3">
      <c r="A8" s="9" t="s">
        <v>195</v>
      </c>
      <c r="B8" s="21">
        <v>45672</v>
      </c>
      <c r="C8" s="15" t="s">
        <v>84</v>
      </c>
      <c r="D8" s="9" t="s">
        <v>67</v>
      </c>
      <c r="E8" s="9" t="s">
        <v>68</v>
      </c>
      <c r="F8" s="9">
        <v>25</v>
      </c>
      <c r="G8" s="10">
        <v>182000</v>
      </c>
      <c r="H8" s="10">
        <f t="shared" si="0"/>
        <v>4550000</v>
      </c>
      <c r="I8" s="9" t="s">
        <v>93</v>
      </c>
      <c r="J8" s="9" t="s">
        <v>70</v>
      </c>
      <c r="K8" t="str">
        <f t="shared" si="1"/>
        <v>January</v>
      </c>
      <c r="M8" t="b">
        <f t="shared" si="2"/>
        <v>1</v>
      </c>
      <c r="N8" s="20">
        <f t="shared" si="3"/>
        <v>182000</v>
      </c>
      <c r="O8" s="20" t="b">
        <f t="shared" si="4"/>
        <v>1</v>
      </c>
      <c r="P8" t="b">
        <f t="shared" si="5"/>
        <v>1</v>
      </c>
    </row>
    <row r="9" spans="1:16" ht="15" customHeight="1" x14ac:dyDescent="0.3">
      <c r="A9" s="9" t="s">
        <v>306</v>
      </c>
      <c r="B9" s="21">
        <v>45674</v>
      </c>
      <c r="C9" s="15" t="s">
        <v>136</v>
      </c>
      <c r="D9" s="9" t="s">
        <v>67</v>
      </c>
      <c r="E9" s="9" t="s">
        <v>131</v>
      </c>
      <c r="F9" s="9">
        <v>8</v>
      </c>
      <c r="G9" s="10">
        <v>106000</v>
      </c>
      <c r="H9" s="10">
        <f t="shared" si="0"/>
        <v>848000</v>
      </c>
      <c r="I9" s="9" t="s">
        <v>93</v>
      </c>
      <c r="J9" s="9" t="s">
        <v>70</v>
      </c>
      <c r="K9" t="str">
        <f t="shared" si="1"/>
        <v>January</v>
      </c>
      <c r="M9" t="b">
        <f t="shared" si="2"/>
        <v>1</v>
      </c>
      <c r="N9" s="20">
        <f t="shared" si="3"/>
        <v>106000</v>
      </c>
      <c r="O9" s="20" t="b">
        <f t="shared" si="4"/>
        <v>1</v>
      </c>
      <c r="P9" t="b">
        <f t="shared" si="5"/>
        <v>1</v>
      </c>
    </row>
    <row r="10" spans="1:16" ht="15" customHeight="1" x14ac:dyDescent="0.3">
      <c r="A10" s="9" t="s">
        <v>283</v>
      </c>
      <c r="B10" s="21">
        <v>45676</v>
      </c>
      <c r="C10" s="15" t="s">
        <v>91</v>
      </c>
      <c r="D10" s="9" t="s">
        <v>73</v>
      </c>
      <c r="E10" s="9" t="s">
        <v>78</v>
      </c>
      <c r="F10" s="9">
        <v>24</v>
      </c>
      <c r="G10" s="10">
        <v>58000</v>
      </c>
      <c r="H10" s="10">
        <f t="shared" si="0"/>
        <v>1392000</v>
      </c>
      <c r="I10" s="9" t="s">
        <v>93</v>
      </c>
      <c r="J10" s="9" t="s">
        <v>70</v>
      </c>
      <c r="K10" t="str">
        <f t="shared" si="1"/>
        <v>January</v>
      </c>
      <c r="M10" t="b">
        <f t="shared" si="2"/>
        <v>1</v>
      </c>
      <c r="N10" s="20">
        <f t="shared" si="3"/>
        <v>58000</v>
      </c>
      <c r="O10" s="20" t="b">
        <f t="shared" si="4"/>
        <v>1</v>
      </c>
      <c r="P10" t="b">
        <f t="shared" si="5"/>
        <v>1</v>
      </c>
    </row>
    <row r="11" spans="1:16" ht="15" customHeight="1" x14ac:dyDescent="0.3">
      <c r="A11" s="9" t="s">
        <v>278</v>
      </c>
      <c r="B11" s="21">
        <v>45678</v>
      </c>
      <c r="C11" s="15" t="s">
        <v>136</v>
      </c>
      <c r="D11" s="9" t="s">
        <v>87</v>
      </c>
      <c r="E11" s="9" t="s">
        <v>92</v>
      </c>
      <c r="F11" s="9">
        <v>22</v>
      </c>
      <c r="G11" s="10">
        <v>135000</v>
      </c>
      <c r="H11" s="10">
        <f t="shared" si="0"/>
        <v>2970000</v>
      </c>
      <c r="I11" s="9" t="s">
        <v>89</v>
      </c>
      <c r="J11" s="9" t="s">
        <v>115</v>
      </c>
      <c r="K11" t="str">
        <f t="shared" si="1"/>
        <v>January</v>
      </c>
      <c r="M11" t="b">
        <f t="shared" si="2"/>
        <v>1</v>
      </c>
      <c r="N11" s="20">
        <f t="shared" si="3"/>
        <v>135000</v>
      </c>
      <c r="O11" s="20" t="b">
        <f t="shared" si="4"/>
        <v>1</v>
      </c>
      <c r="P11" t="b">
        <f t="shared" si="5"/>
        <v>1</v>
      </c>
    </row>
    <row r="12" spans="1:16" ht="15" customHeight="1" x14ac:dyDescent="0.3">
      <c r="A12" s="9" t="s">
        <v>266</v>
      </c>
      <c r="B12" s="21">
        <v>45679</v>
      </c>
      <c r="C12" s="15" t="s">
        <v>136</v>
      </c>
      <c r="D12" s="9" t="s">
        <v>111</v>
      </c>
      <c r="E12" s="9" t="s">
        <v>148</v>
      </c>
      <c r="F12" s="9">
        <v>13</v>
      </c>
      <c r="G12" s="10">
        <v>47000</v>
      </c>
      <c r="H12" s="10">
        <f t="shared" si="0"/>
        <v>611000</v>
      </c>
      <c r="I12" s="9" t="s">
        <v>82</v>
      </c>
      <c r="J12" s="9" t="s">
        <v>70</v>
      </c>
      <c r="K12" t="str">
        <f t="shared" si="1"/>
        <v>January</v>
      </c>
      <c r="M12" t="b">
        <f t="shared" si="2"/>
        <v>1</v>
      </c>
      <c r="N12" s="20">
        <f t="shared" si="3"/>
        <v>47000</v>
      </c>
      <c r="O12" s="20" t="b">
        <f t="shared" si="4"/>
        <v>1</v>
      </c>
      <c r="P12" t="b">
        <f t="shared" si="5"/>
        <v>1</v>
      </c>
    </row>
    <row r="13" spans="1:16" ht="15" customHeight="1" x14ac:dyDescent="0.3">
      <c r="A13" s="9" t="s">
        <v>127</v>
      </c>
      <c r="B13" s="21">
        <v>45681</v>
      </c>
      <c r="C13" s="15" t="s">
        <v>77</v>
      </c>
      <c r="D13" s="9" t="s">
        <v>73</v>
      </c>
      <c r="E13" s="9" t="s">
        <v>109</v>
      </c>
      <c r="F13" s="9">
        <v>15</v>
      </c>
      <c r="G13" s="10">
        <v>69000</v>
      </c>
      <c r="H13" s="10">
        <f t="shared" si="0"/>
        <v>1035000</v>
      </c>
      <c r="I13" s="9" t="s">
        <v>89</v>
      </c>
      <c r="J13" s="9" t="s">
        <v>70</v>
      </c>
      <c r="K13" t="str">
        <f t="shared" si="1"/>
        <v>January</v>
      </c>
      <c r="M13" t="b">
        <f t="shared" si="2"/>
        <v>1</v>
      </c>
      <c r="N13" s="20">
        <f t="shared" si="3"/>
        <v>69000</v>
      </c>
      <c r="O13" s="20" t="b">
        <f t="shared" si="4"/>
        <v>1</v>
      </c>
      <c r="P13" t="b">
        <f t="shared" si="5"/>
        <v>1</v>
      </c>
    </row>
    <row r="14" spans="1:16" ht="15" customHeight="1" x14ac:dyDescent="0.3">
      <c r="A14" s="9" t="s">
        <v>257</v>
      </c>
      <c r="B14" s="21">
        <v>45682</v>
      </c>
      <c r="C14" s="15" t="s">
        <v>136</v>
      </c>
      <c r="D14" s="9" t="s">
        <v>111</v>
      </c>
      <c r="E14" s="9" t="s">
        <v>114</v>
      </c>
      <c r="F14" s="9">
        <v>12</v>
      </c>
      <c r="G14" s="10">
        <v>110000</v>
      </c>
      <c r="H14" s="10">
        <f t="shared" si="0"/>
        <v>1320000</v>
      </c>
      <c r="I14" s="9" t="s">
        <v>89</v>
      </c>
      <c r="J14" s="9" t="s">
        <v>70</v>
      </c>
      <c r="K14" t="str">
        <f t="shared" si="1"/>
        <v>January</v>
      </c>
      <c r="M14" t="b">
        <f t="shared" si="2"/>
        <v>1</v>
      </c>
      <c r="N14" s="20">
        <f t="shared" si="3"/>
        <v>110000</v>
      </c>
      <c r="O14" s="20" t="b">
        <f t="shared" si="4"/>
        <v>1</v>
      </c>
      <c r="P14" t="b">
        <f t="shared" si="5"/>
        <v>1</v>
      </c>
    </row>
    <row r="15" spans="1:16" ht="15" customHeight="1" x14ac:dyDescent="0.3">
      <c r="A15" s="9" t="s">
        <v>99</v>
      </c>
      <c r="B15" s="21">
        <v>45682</v>
      </c>
      <c r="C15" s="15" t="s">
        <v>84</v>
      </c>
      <c r="D15" s="9" t="s">
        <v>87</v>
      </c>
      <c r="E15" s="9" t="s">
        <v>92</v>
      </c>
      <c r="F15" s="9">
        <v>22</v>
      </c>
      <c r="G15" s="10">
        <v>61000</v>
      </c>
      <c r="H15" s="10">
        <f t="shared" si="0"/>
        <v>1342000</v>
      </c>
      <c r="I15" s="9" t="s">
        <v>89</v>
      </c>
      <c r="J15" s="9" t="s">
        <v>70</v>
      </c>
      <c r="K15" t="str">
        <f t="shared" si="1"/>
        <v>January</v>
      </c>
      <c r="M15" t="b">
        <f t="shared" si="2"/>
        <v>1</v>
      </c>
      <c r="N15" s="20">
        <f t="shared" si="3"/>
        <v>61000</v>
      </c>
      <c r="O15" s="20" t="b">
        <f t="shared" si="4"/>
        <v>1</v>
      </c>
      <c r="P15" t="b">
        <f t="shared" si="5"/>
        <v>1</v>
      </c>
    </row>
    <row r="16" spans="1:16" ht="15" customHeight="1" x14ac:dyDescent="0.3">
      <c r="A16" s="9" t="s">
        <v>137</v>
      </c>
      <c r="B16" s="21">
        <v>45682</v>
      </c>
      <c r="C16" s="15" t="s">
        <v>77</v>
      </c>
      <c r="D16" s="9" t="s">
        <v>67</v>
      </c>
      <c r="E16" s="9" t="s">
        <v>95</v>
      </c>
      <c r="F16" s="9">
        <v>15</v>
      </c>
      <c r="G16" s="10">
        <v>94000</v>
      </c>
      <c r="H16" s="10">
        <f t="shared" si="0"/>
        <v>1410000</v>
      </c>
      <c r="I16" s="9" t="s">
        <v>93</v>
      </c>
      <c r="J16" s="9" t="s">
        <v>115</v>
      </c>
      <c r="K16" t="str">
        <f t="shared" si="1"/>
        <v>January</v>
      </c>
      <c r="M16" t="b">
        <f t="shared" si="2"/>
        <v>1</v>
      </c>
      <c r="N16" s="20">
        <f t="shared" si="3"/>
        <v>94000</v>
      </c>
      <c r="O16" s="20" t="b">
        <f t="shared" si="4"/>
        <v>1</v>
      </c>
      <c r="P16" t="b">
        <f t="shared" si="5"/>
        <v>1</v>
      </c>
    </row>
    <row r="17" spans="1:16" ht="15" customHeight="1" x14ac:dyDescent="0.3">
      <c r="A17" s="9" t="s">
        <v>184</v>
      </c>
      <c r="B17" s="21">
        <v>45683</v>
      </c>
      <c r="C17" s="15" t="s">
        <v>107</v>
      </c>
      <c r="D17" s="9" t="s">
        <v>87</v>
      </c>
      <c r="E17" s="9" t="s">
        <v>92</v>
      </c>
      <c r="F17" s="9">
        <v>2</v>
      </c>
      <c r="G17" s="10">
        <v>150000</v>
      </c>
      <c r="H17" s="10">
        <f t="shared" si="0"/>
        <v>300000</v>
      </c>
      <c r="I17" s="9" t="s">
        <v>82</v>
      </c>
      <c r="J17" s="9" t="s">
        <v>70</v>
      </c>
      <c r="K17" t="str">
        <f t="shared" si="1"/>
        <v>January</v>
      </c>
      <c r="M17" t="b">
        <f t="shared" si="2"/>
        <v>1</v>
      </c>
      <c r="N17" s="20">
        <f t="shared" si="3"/>
        <v>150000</v>
      </c>
      <c r="O17" s="20" t="b">
        <f t="shared" si="4"/>
        <v>1</v>
      </c>
      <c r="P17" t="b">
        <f t="shared" si="5"/>
        <v>1</v>
      </c>
    </row>
    <row r="18" spans="1:16" ht="15" customHeight="1" x14ac:dyDescent="0.3">
      <c r="A18" s="9" t="s">
        <v>182</v>
      </c>
      <c r="B18" s="21">
        <v>45684</v>
      </c>
      <c r="C18" s="15" t="s">
        <v>136</v>
      </c>
      <c r="D18" s="9" t="s">
        <v>67</v>
      </c>
      <c r="E18" s="9" t="s">
        <v>183</v>
      </c>
      <c r="F18" s="9">
        <v>4</v>
      </c>
      <c r="G18" s="10">
        <v>177000</v>
      </c>
      <c r="H18" s="10">
        <f t="shared" si="0"/>
        <v>708000</v>
      </c>
      <c r="I18" s="9" t="s">
        <v>93</v>
      </c>
      <c r="J18" s="9" t="s">
        <v>79</v>
      </c>
      <c r="K18" t="str">
        <f t="shared" si="1"/>
        <v>January</v>
      </c>
      <c r="M18" t="b">
        <f t="shared" si="2"/>
        <v>1</v>
      </c>
      <c r="N18" s="20">
        <f t="shared" si="3"/>
        <v>177000</v>
      </c>
      <c r="O18" s="20" t="b">
        <f t="shared" si="4"/>
        <v>1</v>
      </c>
      <c r="P18" t="b">
        <f t="shared" si="5"/>
        <v>1</v>
      </c>
    </row>
    <row r="19" spans="1:16" ht="15" customHeight="1" x14ac:dyDescent="0.3">
      <c r="A19" s="9" t="s">
        <v>190</v>
      </c>
      <c r="B19" s="21">
        <v>45685</v>
      </c>
      <c r="C19" s="15" t="s">
        <v>77</v>
      </c>
      <c r="D19" s="9" t="s">
        <v>104</v>
      </c>
      <c r="E19" s="9" t="s">
        <v>145</v>
      </c>
      <c r="F19" s="9">
        <v>20</v>
      </c>
      <c r="G19" s="10">
        <v>127000</v>
      </c>
      <c r="H19" s="10">
        <f t="shared" si="0"/>
        <v>2540000</v>
      </c>
      <c r="I19" s="9" t="s">
        <v>69</v>
      </c>
      <c r="J19" s="9" t="s">
        <v>70</v>
      </c>
      <c r="K19" t="str">
        <f t="shared" si="1"/>
        <v>January</v>
      </c>
      <c r="M19" t="b">
        <f t="shared" si="2"/>
        <v>1</v>
      </c>
      <c r="N19" s="20">
        <f t="shared" si="3"/>
        <v>127000</v>
      </c>
      <c r="O19" s="20" t="b">
        <f t="shared" si="4"/>
        <v>1</v>
      </c>
      <c r="P19" t="b">
        <f t="shared" si="5"/>
        <v>1</v>
      </c>
    </row>
    <row r="20" spans="1:16" ht="15" customHeight="1" x14ac:dyDescent="0.3">
      <c r="A20" s="9" t="s">
        <v>259</v>
      </c>
      <c r="B20" s="21">
        <v>45685</v>
      </c>
      <c r="C20" s="15" t="s">
        <v>84</v>
      </c>
      <c r="D20" s="9" t="s">
        <v>67</v>
      </c>
      <c r="E20" s="9" t="s">
        <v>95</v>
      </c>
      <c r="F20" s="9">
        <v>24</v>
      </c>
      <c r="G20" s="10">
        <v>121000</v>
      </c>
      <c r="H20" s="10">
        <f t="shared" si="0"/>
        <v>2904000</v>
      </c>
      <c r="I20" s="9" t="s">
        <v>93</v>
      </c>
      <c r="J20" s="9" t="s">
        <v>70</v>
      </c>
      <c r="K20" t="str">
        <f t="shared" si="1"/>
        <v>January</v>
      </c>
      <c r="M20" t="b">
        <f t="shared" si="2"/>
        <v>1</v>
      </c>
      <c r="N20" s="20">
        <f t="shared" si="3"/>
        <v>121000</v>
      </c>
      <c r="O20" s="20" t="b">
        <f t="shared" si="4"/>
        <v>1</v>
      </c>
      <c r="P20" t="b">
        <f t="shared" si="5"/>
        <v>1</v>
      </c>
    </row>
    <row r="21" spans="1:16" ht="15" customHeight="1" x14ac:dyDescent="0.3">
      <c r="A21" s="9" t="s">
        <v>97</v>
      </c>
      <c r="B21" s="21">
        <v>45688</v>
      </c>
      <c r="C21" s="15" t="s">
        <v>98</v>
      </c>
      <c r="D21" s="9" t="s">
        <v>73</v>
      </c>
      <c r="E21" s="9" t="s">
        <v>74</v>
      </c>
      <c r="F21" s="9">
        <v>16</v>
      </c>
      <c r="G21" s="10">
        <v>38000</v>
      </c>
      <c r="H21" s="10">
        <f t="shared" si="0"/>
        <v>608000</v>
      </c>
      <c r="I21" s="9" t="s">
        <v>75</v>
      </c>
      <c r="J21" s="9" t="s">
        <v>79</v>
      </c>
      <c r="K21" t="str">
        <f t="shared" si="1"/>
        <v>January</v>
      </c>
      <c r="M21" t="b">
        <f t="shared" si="2"/>
        <v>1</v>
      </c>
      <c r="N21" s="20">
        <f t="shared" si="3"/>
        <v>38000</v>
      </c>
      <c r="O21" s="20" t="b">
        <f t="shared" si="4"/>
        <v>1</v>
      </c>
      <c r="P21" t="b">
        <f t="shared" si="5"/>
        <v>1</v>
      </c>
    </row>
    <row r="22" spans="1:16" ht="15" customHeight="1" x14ac:dyDescent="0.3">
      <c r="A22" s="9" t="s">
        <v>212</v>
      </c>
      <c r="B22" s="21">
        <v>45689</v>
      </c>
      <c r="C22" s="15" t="s">
        <v>77</v>
      </c>
      <c r="D22" s="9" t="s">
        <v>73</v>
      </c>
      <c r="E22" s="9" t="s">
        <v>74</v>
      </c>
      <c r="F22" s="9">
        <v>25</v>
      </c>
      <c r="G22" s="10">
        <v>93000</v>
      </c>
      <c r="H22" s="10">
        <f t="shared" si="0"/>
        <v>2325000</v>
      </c>
      <c r="I22" s="9" t="s">
        <v>89</v>
      </c>
      <c r="J22" s="9" t="s">
        <v>70</v>
      </c>
      <c r="K22" t="str">
        <f t="shared" si="1"/>
        <v>February</v>
      </c>
      <c r="M22" t="b">
        <f t="shared" si="2"/>
        <v>1</v>
      </c>
      <c r="N22" s="20">
        <f t="shared" si="3"/>
        <v>93000</v>
      </c>
      <c r="O22" s="20" t="b">
        <f t="shared" si="4"/>
        <v>1</v>
      </c>
      <c r="P22" t="b">
        <f t="shared" si="5"/>
        <v>1</v>
      </c>
    </row>
    <row r="23" spans="1:16" ht="15" customHeight="1" x14ac:dyDescent="0.3">
      <c r="A23" s="9" t="s">
        <v>174</v>
      </c>
      <c r="B23" s="21">
        <v>45690</v>
      </c>
      <c r="C23" s="15" t="s">
        <v>136</v>
      </c>
      <c r="D23" s="9" t="s">
        <v>67</v>
      </c>
      <c r="E23" s="9" t="s">
        <v>131</v>
      </c>
      <c r="F23" s="9">
        <v>18</v>
      </c>
      <c r="G23" s="10">
        <v>93000</v>
      </c>
      <c r="H23" s="10">
        <f t="shared" si="0"/>
        <v>1674000</v>
      </c>
      <c r="I23" s="9" t="s">
        <v>69</v>
      </c>
      <c r="J23" s="9" t="s">
        <v>70</v>
      </c>
      <c r="K23" t="str">
        <f t="shared" si="1"/>
        <v>February</v>
      </c>
      <c r="M23" t="b">
        <f t="shared" si="2"/>
        <v>1</v>
      </c>
      <c r="N23" s="20">
        <f t="shared" si="3"/>
        <v>93000</v>
      </c>
      <c r="O23" s="20" t="b">
        <f t="shared" si="4"/>
        <v>1</v>
      </c>
      <c r="P23" t="b">
        <f t="shared" si="5"/>
        <v>1</v>
      </c>
    </row>
    <row r="24" spans="1:16" ht="15" customHeight="1" x14ac:dyDescent="0.3">
      <c r="A24" s="9" t="s">
        <v>227</v>
      </c>
      <c r="B24" s="21">
        <v>45690</v>
      </c>
      <c r="C24" s="15" t="s">
        <v>107</v>
      </c>
      <c r="D24" s="9" t="s">
        <v>67</v>
      </c>
      <c r="E24" s="9" t="s">
        <v>85</v>
      </c>
      <c r="F24" s="9">
        <v>16</v>
      </c>
      <c r="G24" s="10">
        <v>43000</v>
      </c>
      <c r="H24" s="10">
        <f t="shared" si="0"/>
        <v>688000</v>
      </c>
      <c r="I24" s="9" t="s">
        <v>82</v>
      </c>
      <c r="J24" s="9" t="s">
        <v>79</v>
      </c>
      <c r="K24" t="str">
        <f t="shared" si="1"/>
        <v>February</v>
      </c>
      <c r="M24" t="b">
        <f t="shared" si="2"/>
        <v>1</v>
      </c>
      <c r="N24" s="20">
        <f t="shared" si="3"/>
        <v>43000</v>
      </c>
      <c r="O24" s="20" t="b">
        <f t="shared" si="4"/>
        <v>1</v>
      </c>
      <c r="P24" t="b">
        <f t="shared" si="5"/>
        <v>1</v>
      </c>
    </row>
    <row r="25" spans="1:16" ht="15" customHeight="1" x14ac:dyDescent="0.3">
      <c r="A25" s="9" t="s">
        <v>252</v>
      </c>
      <c r="B25" s="21">
        <v>45690</v>
      </c>
      <c r="C25" s="15" t="s">
        <v>81</v>
      </c>
      <c r="D25" s="9" t="s">
        <v>111</v>
      </c>
      <c r="E25" s="9" t="s">
        <v>112</v>
      </c>
      <c r="F25" s="9">
        <v>4</v>
      </c>
      <c r="G25" s="10">
        <v>19000</v>
      </c>
      <c r="H25" s="10">
        <f t="shared" si="0"/>
        <v>76000</v>
      </c>
      <c r="I25" s="9" t="s">
        <v>69</v>
      </c>
      <c r="J25" s="9" t="s">
        <v>70</v>
      </c>
      <c r="K25" t="str">
        <f t="shared" si="1"/>
        <v>February</v>
      </c>
      <c r="M25" t="b">
        <f t="shared" si="2"/>
        <v>1</v>
      </c>
      <c r="N25" s="20">
        <f t="shared" si="3"/>
        <v>19000</v>
      </c>
      <c r="O25" s="20" t="b">
        <f t="shared" si="4"/>
        <v>1</v>
      </c>
      <c r="P25" t="b">
        <f t="shared" si="5"/>
        <v>1</v>
      </c>
    </row>
    <row r="26" spans="1:16" ht="15" customHeight="1" x14ac:dyDescent="0.3">
      <c r="A26" s="9" t="s">
        <v>149</v>
      </c>
      <c r="B26" s="21">
        <v>45691</v>
      </c>
      <c r="C26" s="15" t="s">
        <v>77</v>
      </c>
      <c r="D26" s="9" t="s">
        <v>104</v>
      </c>
      <c r="E26" s="9" t="s">
        <v>145</v>
      </c>
      <c r="F26" s="9">
        <v>7</v>
      </c>
      <c r="G26" s="10">
        <v>48000</v>
      </c>
      <c r="H26" s="10">
        <f t="shared" si="0"/>
        <v>336000</v>
      </c>
      <c r="I26" s="9" t="s">
        <v>75</v>
      </c>
      <c r="J26" s="9" t="s">
        <v>70</v>
      </c>
      <c r="K26" t="str">
        <f t="shared" si="1"/>
        <v>February</v>
      </c>
      <c r="M26" t="b">
        <f t="shared" si="2"/>
        <v>1</v>
      </c>
      <c r="N26" s="20">
        <f t="shared" si="3"/>
        <v>48000</v>
      </c>
      <c r="O26" s="20" t="b">
        <f t="shared" si="4"/>
        <v>1</v>
      </c>
      <c r="P26" t="b">
        <f t="shared" si="5"/>
        <v>1</v>
      </c>
    </row>
    <row r="27" spans="1:16" ht="15" customHeight="1" x14ac:dyDescent="0.3">
      <c r="A27" s="9" t="s">
        <v>321</v>
      </c>
      <c r="B27" s="21">
        <v>45691</v>
      </c>
      <c r="C27" s="15" t="s">
        <v>91</v>
      </c>
      <c r="D27" s="9" t="s">
        <v>73</v>
      </c>
      <c r="E27" s="9" t="s">
        <v>109</v>
      </c>
      <c r="F27" s="9">
        <v>19</v>
      </c>
      <c r="G27" s="10">
        <v>39000</v>
      </c>
      <c r="H27" s="10">
        <f t="shared" si="0"/>
        <v>741000</v>
      </c>
      <c r="I27" s="9" t="s">
        <v>93</v>
      </c>
      <c r="J27" s="9" t="s">
        <v>115</v>
      </c>
      <c r="K27" t="str">
        <f t="shared" si="1"/>
        <v>February</v>
      </c>
      <c r="M27" t="b">
        <f t="shared" si="2"/>
        <v>1</v>
      </c>
      <c r="N27" s="20">
        <f t="shared" si="3"/>
        <v>39000</v>
      </c>
      <c r="O27" s="20" t="b">
        <f t="shared" si="4"/>
        <v>1</v>
      </c>
      <c r="P27" t="b">
        <f t="shared" si="5"/>
        <v>1</v>
      </c>
    </row>
    <row r="28" spans="1:16" ht="15" customHeight="1" x14ac:dyDescent="0.3">
      <c r="A28" s="9" t="s">
        <v>155</v>
      </c>
      <c r="B28" s="21">
        <v>45693</v>
      </c>
      <c r="C28" s="15" t="s">
        <v>120</v>
      </c>
      <c r="D28" s="9" t="s">
        <v>67</v>
      </c>
      <c r="E28" s="9" t="s">
        <v>117</v>
      </c>
      <c r="F28" s="9">
        <v>7</v>
      </c>
      <c r="G28" s="10">
        <v>249000</v>
      </c>
      <c r="H28" s="10">
        <f t="shared" si="0"/>
        <v>1743000</v>
      </c>
      <c r="I28" s="9" t="s">
        <v>82</v>
      </c>
      <c r="J28" s="9" t="s">
        <v>70</v>
      </c>
      <c r="K28" t="str">
        <f t="shared" si="1"/>
        <v>February</v>
      </c>
      <c r="M28" t="b">
        <f t="shared" si="2"/>
        <v>1</v>
      </c>
      <c r="N28" s="20">
        <f t="shared" si="3"/>
        <v>249000</v>
      </c>
      <c r="O28" s="20" t="b">
        <f t="shared" si="4"/>
        <v>1</v>
      </c>
      <c r="P28" t="b">
        <f t="shared" si="5"/>
        <v>1</v>
      </c>
    </row>
    <row r="29" spans="1:16" ht="15" customHeight="1" x14ac:dyDescent="0.3">
      <c r="A29" s="9" t="s">
        <v>119</v>
      </c>
      <c r="B29" s="21">
        <v>45694</v>
      </c>
      <c r="C29" s="15" t="s">
        <v>120</v>
      </c>
      <c r="D29" s="9" t="s">
        <v>87</v>
      </c>
      <c r="E29" s="9" t="s">
        <v>88</v>
      </c>
      <c r="F29" s="9">
        <v>20</v>
      </c>
      <c r="G29" s="10">
        <v>118000</v>
      </c>
      <c r="H29" s="10">
        <f t="shared" si="0"/>
        <v>2360000</v>
      </c>
      <c r="I29" s="9" t="s">
        <v>75</v>
      </c>
      <c r="J29" s="9" t="s">
        <v>79</v>
      </c>
      <c r="K29" t="str">
        <f t="shared" si="1"/>
        <v>February</v>
      </c>
      <c r="M29" t="b">
        <f t="shared" si="2"/>
        <v>1</v>
      </c>
      <c r="N29" s="20">
        <f t="shared" si="3"/>
        <v>118000</v>
      </c>
      <c r="O29" s="20" t="b">
        <f t="shared" si="4"/>
        <v>1</v>
      </c>
      <c r="P29" t="b">
        <f t="shared" si="5"/>
        <v>1</v>
      </c>
    </row>
    <row r="30" spans="1:16" ht="15" customHeight="1" x14ac:dyDescent="0.3">
      <c r="A30" s="9" t="s">
        <v>228</v>
      </c>
      <c r="B30" s="21">
        <v>45695</v>
      </c>
      <c r="C30" s="15" t="s">
        <v>120</v>
      </c>
      <c r="D30" s="9" t="s">
        <v>73</v>
      </c>
      <c r="E30" s="9" t="s">
        <v>109</v>
      </c>
      <c r="F30" s="9">
        <v>3</v>
      </c>
      <c r="G30" s="10">
        <v>53000</v>
      </c>
      <c r="H30" s="10">
        <f t="shared" si="0"/>
        <v>159000</v>
      </c>
      <c r="I30" s="9" t="s">
        <v>75</v>
      </c>
      <c r="J30" s="9" t="s">
        <v>79</v>
      </c>
      <c r="K30" t="str">
        <f t="shared" si="1"/>
        <v>February</v>
      </c>
      <c r="M30" t="b">
        <f t="shared" si="2"/>
        <v>1</v>
      </c>
      <c r="N30" s="20">
        <f t="shared" si="3"/>
        <v>53000</v>
      </c>
      <c r="O30" s="20" t="b">
        <f t="shared" si="4"/>
        <v>1</v>
      </c>
      <c r="P30" t="b">
        <f t="shared" si="5"/>
        <v>1</v>
      </c>
    </row>
    <row r="31" spans="1:16" ht="15" customHeight="1" x14ac:dyDescent="0.3">
      <c r="A31" s="9" t="s">
        <v>226</v>
      </c>
      <c r="B31" s="21">
        <v>45697</v>
      </c>
      <c r="C31" s="15" t="s">
        <v>84</v>
      </c>
      <c r="D31" s="9" t="s">
        <v>104</v>
      </c>
      <c r="E31" s="9" t="s">
        <v>133</v>
      </c>
      <c r="F31" s="9">
        <v>15</v>
      </c>
      <c r="G31" s="10">
        <v>113000</v>
      </c>
      <c r="H31" s="10">
        <f t="shared" si="0"/>
        <v>1695000</v>
      </c>
      <c r="I31" s="9" t="s">
        <v>82</v>
      </c>
      <c r="J31" s="9" t="s">
        <v>70</v>
      </c>
      <c r="K31" t="str">
        <f t="shared" si="1"/>
        <v>February</v>
      </c>
      <c r="M31" t="b">
        <f t="shared" si="2"/>
        <v>1</v>
      </c>
      <c r="N31" s="20">
        <f t="shared" si="3"/>
        <v>113000</v>
      </c>
      <c r="O31" s="20" t="b">
        <f t="shared" si="4"/>
        <v>1</v>
      </c>
      <c r="P31" t="b">
        <f t="shared" si="5"/>
        <v>1</v>
      </c>
    </row>
    <row r="32" spans="1:16" ht="15" customHeight="1" x14ac:dyDescent="0.3">
      <c r="A32" s="9" t="s">
        <v>187</v>
      </c>
      <c r="B32" s="21">
        <v>45698</v>
      </c>
      <c r="C32" s="16" t="s">
        <v>335</v>
      </c>
      <c r="D32" s="9" t="s">
        <v>111</v>
      </c>
      <c r="E32" s="9" t="s">
        <v>173</v>
      </c>
      <c r="F32" s="9">
        <v>5</v>
      </c>
      <c r="G32" s="10">
        <v>69000</v>
      </c>
      <c r="H32" s="10">
        <f t="shared" si="0"/>
        <v>345000</v>
      </c>
      <c r="I32" s="9" t="s">
        <v>75</v>
      </c>
      <c r="J32" s="9" t="s">
        <v>70</v>
      </c>
      <c r="K32" t="str">
        <f t="shared" si="1"/>
        <v>February</v>
      </c>
      <c r="M32" t="b">
        <f t="shared" si="2"/>
        <v>1</v>
      </c>
      <c r="N32" s="20">
        <f t="shared" si="3"/>
        <v>69000</v>
      </c>
      <c r="O32" s="20" t="b">
        <f t="shared" si="4"/>
        <v>1</v>
      </c>
      <c r="P32" t="b">
        <f t="shared" si="5"/>
        <v>1</v>
      </c>
    </row>
    <row r="33" spans="1:16" ht="15" customHeight="1" x14ac:dyDescent="0.3">
      <c r="A33" s="9" t="s">
        <v>313</v>
      </c>
      <c r="B33" s="21">
        <v>45699</v>
      </c>
      <c r="C33" s="15" t="s">
        <v>72</v>
      </c>
      <c r="D33" s="9" t="s">
        <v>73</v>
      </c>
      <c r="E33" s="9" t="s">
        <v>74</v>
      </c>
      <c r="F33" s="9">
        <v>16</v>
      </c>
      <c r="G33" s="10">
        <v>54000</v>
      </c>
      <c r="H33" s="10">
        <f t="shared" si="0"/>
        <v>864000</v>
      </c>
      <c r="I33" s="9" t="s">
        <v>93</v>
      </c>
      <c r="J33" s="9" t="s">
        <v>70</v>
      </c>
      <c r="K33" t="str">
        <f t="shared" si="1"/>
        <v>February</v>
      </c>
      <c r="M33" t="b">
        <f t="shared" si="2"/>
        <v>1</v>
      </c>
      <c r="N33" s="20">
        <f t="shared" si="3"/>
        <v>54000</v>
      </c>
      <c r="O33" s="20" t="b">
        <f t="shared" si="4"/>
        <v>1</v>
      </c>
      <c r="P33" t="b">
        <f t="shared" si="5"/>
        <v>1</v>
      </c>
    </row>
    <row r="34" spans="1:16" ht="15" customHeight="1" x14ac:dyDescent="0.3">
      <c r="A34" s="9" t="s">
        <v>248</v>
      </c>
      <c r="B34" s="21">
        <v>45699</v>
      </c>
      <c r="C34" s="15" t="s">
        <v>107</v>
      </c>
      <c r="D34" s="9" t="s">
        <v>73</v>
      </c>
      <c r="E34" s="9" t="s">
        <v>102</v>
      </c>
      <c r="F34" s="9">
        <v>3</v>
      </c>
      <c r="G34" s="10">
        <v>90000</v>
      </c>
      <c r="H34" s="10">
        <f t="shared" si="0"/>
        <v>270000</v>
      </c>
      <c r="I34" s="9" t="s">
        <v>93</v>
      </c>
      <c r="J34" s="9" t="s">
        <v>70</v>
      </c>
      <c r="K34" t="str">
        <f t="shared" si="1"/>
        <v>February</v>
      </c>
      <c r="M34" t="b">
        <f t="shared" si="2"/>
        <v>1</v>
      </c>
      <c r="N34" s="20">
        <f t="shared" si="3"/>
        <v>90000</v>
      </c>
      <c r="O34" s="20" t="b">
        <f t="shared" si="4"/>
        <v>1</v>
      </c>
      <c r="P34" t="b">
        <f t="shared" si="5"/>
        <v>1</v>
      </c>
    </row>
    <row r="35" spans="1:16" ht="15" customHeight="1" x14ac:dyDescent="0.3">
      <c r="A35" s="9" t="s">
        <v>264</v>
      </c>
      <c r="B35" s="21">
        <v>45701</v>
      </c>
      <c r="C35" s="15" t="s">
        <v>77</v>
      </c>
      <c r="D35" s="9" t="s">
        <v>67</v>
      </c>
      <c r="E35" s="9" t="s">
        <v>131</v>
      </c>
      <c r="F35" s="9">
        <v>25</v>
      </c>
      <c r="G35" s="10">
        <v>141000</v>
      </c>
      <c r="H35" s="10">
        <f t="shared" si="0"/>
        <v>3525000</v>
      </c>
      <c r="I35" s="9" t="s">
        <v>89</v>
      </c>
      <c r="J35" s="9" t="s">
        <v>115</v>
      </c>
      <c r="K35" t="str">
        <f t="shared" si="1"/>
        <v>February</v>
      </c>
      <c r="M35" t="b">
        <f t="shared" si="2"/>
        <v>1</v>
      </c>
      <c r="N35" s="20">
        <f t="shared" si="3"/>
        <v>141000</v>
      </c>
      <c r="O35" s="20" t="b">
        <f t="shared" si="4"/>
        <v>1</v>
      </c>
      <c r="P35" t="b">
        <f t="shared" si="5"/>
        <v>1</v>
      </c>
    </row>
    <row r="36" spans="1:16" ht="15" customHeight="1" x14ac:dyDescent="0.3">
      <c r="A36" s="9" t="s">
        <v>290</v>
      </c>
      <c r="B36" s="21">
        <v>45703</v>
      </c>
      <c r="C36" s="15" t="s">
        <v>136</v>
      </c>
      <c r="D36" s="9" t="s">
        <v>111</v>
      </c>
      <c r="E36" s="9" t="s">
        <v>153</v>
      </c>
      <c r="F36" s="9">
        <v>4</v>
      </c>
      <c r="G36" s="10">
        <v>80000</v>
      </c>
      <c r="H36" s="10">
        <f t="shared" si="0"/>
        <v>320000</v>
      </c>
      <c r="I36" s="9" t="s">
        <v>93</v>
      </c>
      <c r="J36" s="9" t="s">
        <v>70</v>
      </c>
      <c r="K36" t="str">
        <f t="shared" si="1"/>
        <v>February</v>
      </c>
      <c r="M36" t="b">
        <f t="shared" si="2"/>
        <v>1</v>
      </c>
      <c r="N36" s="20">
        <f t="shared" si="3"/>
        <v>80000</v>
      </c>
      <c r="O36" s="20" t="b">
        <f t="shared" si="4"/>
        <v>1</v>
      </c>
      <c r="P36" t="b">
        <f t="shared" si="5"/>
        <v>1</v>
      </c>
    </row>
    <row r="37" spans="1:16" ht="15" customHeight="1" x14ac:dyDescent="0.3">
      <c r="A37" s="9" t="s">
        <v>128</v>
      </c>
      <c r="B37" s="21">
        <v>45703</v>
      </c>
      <c r="C37" s="15" t="s">
        <v>101</v>
      </c>
      <c r="D37" s="9" t="s">
        <v>87</v>
      </c>
      <c r="E37" s="9" t="s">
        <v>126</v>
      </c>
      <c r="F37" s="9">
        <v>24</v>
      </c>
      <c r="G37" s="10">
        <v>54000</v>
      </c>
      <c r="H37" s="10">
        <f t="shared" si="0"/>
        <v>1296000</v>
      </c>
      <c r="I37" s="9" t="s">
        <v>82</v>
      </c>
      <c r="J37" s="9" t="s">
        <v>115</v>
      </c>
      <c r="K37" t="str">
        <f t="shared" si="1"/>
        <v>February</v>
      </c>
      <c r="M37" t="b">
        <f t="shared" si="2"/>
        <v>1</v>
      </c>
      <c r="N37" s="20">
        <f t="shared" si="3"/>
        <v>54000</v>
      </c>
      <c r="O37" s="20" t="b">
        <f t="shared" si="4"/>
        <v>1</v>
      </c>
      <c r="P37" t="b">
        <f t="shared" si="5"/>
        <v>1</v>
      </c>
    </row>
    <row r="38" spans="1:16" ht="15" customHeight="1" x14ac:dyDescent="0.3">
      <c r="A38" s="9" t="s">
        <v>319</v>
      </c>
      <c r="B38" s="21">
        <v>45708</v>
      </c>
      <c r="C38" s="15" t="s">
        <v>136</v>
      </c>
      <c r="D38" s="9" t="s">
        <v>104</v>
      </c>
      <c r="E38" s="9" t="s">
        <v>145</v>
      </c>
      <c r="F38" s="9">
        <v>2</v>
      </c>
      <c r="G38" s="10">
        <v>138000</v>
      </c>
      <c r="H38" s="10">
        <f t="shared" si="0"/>
        <v>276000</v>
      </c>
      <c r="I38" s="9" t="s">
        <v>89</v>
      </c>
      <c r="J38" s="9" t="s">
        <v>70</v>
      </c>
      <c r="K38" t="str">
        <f t="shared" si="1"/>
        <v>February</v>
      </c>
      <c r="M38" t="b">
        <f t="shared" si="2"/>
        <v>1</v>
      </c>
      <c r="N38" s="20">
        <f t="shared" si="3"/>
        <v>138000</v>
      </c>
      <c r="O38" s="20" t="b">
        <f t="shared" si="4"/>
        <v>1</v>
      </c>
      <c r="P38" t="b">
        <f t="shared" si="5"/>
        <v>1</v>
      </c>
    </row>
    <row r="39" spans="1:16" ht="15" customHeight="1" x14ac:dyDescent="0.3">
      <c r="A39" s="9" t="s">
        <v>244</v>
      </c>
      <c r="B39" s="21">
        <v>45713</v>
      </c>
      <c r="C39" s="15" t="s">
        <v>101</v>
      </c>
      <c r="D39" s="9" t="s">
        <v>67</v>
      </c>
      <c r="E39" s="9" t="s">
        <v>183</v>
      </c>
      <c r="F39" s="9">
        <v>19</v>
      </c>
      <c r="G39" s="10">
        <v>208000</v>
      </c>
      <c r="H39" s="10">
        <f t="shared" si="0"/>
        <v>3952000</v>
      </c>
      <c r="I39" s="11" t="s">
        <v>335</v>
      </c>
      <c r="J39" s="9" t="s">
        <v>79</v>
      </c>
      <c r="K39" t="str">
        <f t="shared" si="1"/>
        <v>February</v>
      </c>
      <c r="M39" t="b">
        <f t="shared" si="2"/>
        <v>1</v>
      </c>
      <c r="N39" s="20">
        <f t="shared" si="3"/>
        <v>208000</v>
      </c>
      <c r="O39" s="20" t="b">
        <f t="shared" si="4"/>
        <v>1</v>
      </c>
      <c r="P39" t="b">
        <f t="shared" si="5"/>
        <v>1</v>
      </c>
    </row>
    <row r="40" spans="1:16" ht="15" customHeight="1" x14ac:dyDescent="0.3">
      <c r="A40" s="9" t="s">
        <v>275</v>
      </c>
      <c r="B40" s="21">
        <v>45715</v>
      </c>
      <c r="C40" s="15" t="s">
        <v>120</v>
      </c>
      <c r="D40" s="9" t="s">
        <v>73</v>
      </c>
      <c r="E40" s="9" t="s">
        <v>109</v>
      </c>
      <c r="F40" s="9">
        <v>8</v>
      </c>
      <c r="G40" s="10">
        <v>24000</v>
      </c>
      <c r="H40" s="10">
        <f t="shared" si="0"/>
        <v>192000</v>
      </c>
      <c r="I40" s="9" t="s">
        <v>93</v>
      </c>
      <c r="J40" s="9" t="s">
        <v>79</v>
      </c>
      <c r="K40" t="str">
        <f t="shared" si="1"/>
        <v>February</v>
      </c>
      <c r="M40" t="b">
        <f t="shared" si="2"/>
        <v>1</v>
      </c>
      <c r="N40" s="20">
        <f t="shared" si="3"/>
        <v>24000</v>
      </c>
      <c r="O40" s="20" t="b">
        <f t="shared" si="4"/>
        <v>1</v>
      </c>
      <c r="P40" t="b">
        <f t="shared" si="5"/>
        <v>1</v>
      </c>
    </row>
    <row r="41" spans="1:16" ht="15" customHeight="1" x14ac:dyDescent="0.3">
      <c r="A41" s="9" t="s">
        <v>180</v>
      </c>
      <c r="B41" s="21">
        <v>45716</v>
      </c>
      <c r="C41" s="15" t="s">
        <v>101</v>
      </c>
      <c r="D41" s="9" t="s">
        <v>87</v>
      </c>
      <c r="E41" s="9" t="s">
        <v>177</v>
      </c>
      <c r="F41" s="9">
        <v>23</v>
      </c>
      <c r="G41" s="10">
        <v>139000</v>
      </c>
      <c r="H41" s="10">
        <f t="shared" si="0"/>
        <v>3197000</v>
      </c>
      <c r="I41" s="9" t="s">
        <v>82</v>
      </c>
      <c r="J41" s="9" t="s">
        <v>115</v>
      </c>
      <c r="K41" t="str">
        <f t="shared" si="1"/>
        <v>February</v>
      </c>
      <c r="M41" t="b">
        <f t="shared" si="2"/>
        <v>1</v>
      </c>
      <c r="N41" s="20">
        <f t="shared" si="3"/>
        <v>139000</v>
      </c>
      <c r="O41" s="20" t="b">
        <f t="shared" si="4"/>
        <v>1</v>
      </c>
      <c r="P41" t="b">
        <f t="shared" si="5"/>
        <v>1</v>
      </c>
    </row>
    <row r="42" spans="1:16" ht="15" customHeight="1" x14ac:dyDescent="0.3">
      <c r="A42" s="9" t="s">
        <v>315</v>
      </c>
      <c r="B42" s="21">
        <v>45719</v>
      </c>
      <c r="C42" s="15" t="s">
        <v>77</v>
      </c>
      <c r="D42" s="9" t="s">
        <v>111</v>
      </c>
      <c r="E42" s="9" t="s">
        <v>114</v>
      </c>
      <c r="F42" s="9">
        <v>24</v>
      </c>
      <c r="G42" s="10">
        <v>39000</v>
      </c>
      <c r="H42" s="10">
        <f t="shared" si="0"/>
        <v>936000</v>
      </c>
      <c r="I42" s="9" t="s">
        <v>89</v>
      </c>
      <c r="J42" s="9" t="s">
        <v>70</v>
      </c>
      <c r="K42" t="str">
        <f t="shared" si="1"/>
        <v>March</v>
      </c>
      <c r="M42" t="b">
        <f t="shared" si="2"/>
        <v>1</v>
      </c>
      <c r="N42" s="20">
        <f t="shared" si="3"/>
        <v>39000</v>
      </c>
      <c r="O42" s="20" t="b">
        <f t="shared" si="4"/>
        <v>1</v>
      </c>
      <c r="P42" t="b">
        <f t="shared" si="5"/>
        <v>1</v>
      </c>
    </row>
    <row r="43" spans="1:16" ht="15" customHeight="1" x14ac:dyDescent="0.3">
      <c r="A43" s="9" t="s">
        <v>176</v>
      </c>
      <c r="B43" s="21">
        <v>45720</v>
      </c>
      <c r="C43" s="15" t="s">
        <v>120</v>
      </c>
      <c r="D43" s="9" t="s">
        <v>87</v>
      </c>
      <c r="E43" s="9" t="s">
        <v>177</v>
      </c>
      <c r="F43" s="9">
        <v>21</v>
      </c>
      <c r="G43" s="10">
        <v>162000</v>
      </c>
      <c r="H43" s="10">
        <f t="shared" si="0"/>
        <v>3402000</v>
      </c>
      <c r="I43" s="9" t="s">
        <v>89</v>
      </c>
      <c r="J43" s="9" t="s">
        <v>70</v>
      </c>
      <c r="K43" t="str">
        <f t="shared" si="1"/>
        <v>March</v>
      </c>
      <c r="M43" t="b">
        <f t="shared" si="2"/>
        <v>1</v>
      </c>
      <c r="N43" s="20">
        <f t="shared" si="3"/>
        <v>162000</v>
      </c>
      <c r="O43" s="20" t="b">
        <f t="shared" si="4"/>
        <v>1</v>
      </c>
      <c r="P43" t="b">
        <f t="shared" si="5"/>
        <v>1</v>
      </c>
    </row>
    <row r="44" spans="1:16" ht="15" customHeight="1" x14ac:dyDescent="0.3">
      <c r="A44" s="9" t="s">
        <v>242</v>
      </c>
      <c r="B44" s="21">
        <v>45720</v>
      </c>
      <c r="C44" s="15" t="s">
        <v>81</v>
      </c>
      <c r="D44" s="9" t="s">
        <v>87</v>
      </c>
      <c r="E44" s="9" t="s">
        <v>177</v>
      </c>
      <c r="F44" s="9">
        <v>22</v>
      </c>
      <c r="G44" s="10">
        <v>126000</v>
      </c>
      <c r="H44" s="10">
        <f t="shared" si="0"/>
        <v>2772000</v>
      </c>
      <c r="I44" s="9" t="s">
        <v>93</v>
      </c>
      <c r="J44" s="9" t="s">
        <v>70</v>
      </c>
      <c r="K44" t="str">
        <f t="shared" si="1"/>
        <v>March</v>
      </c>
      <c r="M44" t="b">
        <f t="shared" si="2"/>
        <v>1</v>
      </c>
      <c r="N44" s="20">
        <f t="shared" si="3"/>
        <v>126000</v>
      </c>
      <c r="O44" s="20" t="b">
        <f t="shared" si="4"/>
        <v>1</v>
      </c>
      <c r="P44" t="b">
        <f t="shared" si="5"/>
        <v>1</v>
      </c>
    </row>
    <row r="45" spans="1:16" ht="15" customHeight="1" x14ac:dyDescent="0.3">
      <c r="A45" s="9" t="s">
        <v>318</v>
      </c>
      <c r="B45" s="21">
        <v>45721</v>
      </c>
      <c r="C45" s="15" t="s">
        <v>72</v>
      </c>
      <c r="D45" s="9" t="s">
        <v>104</v>
      </c>
      <c r="E45" s="9" t="s">
        <v>145</v>
      </c>
      <c r="F45" s="9">
        <v>22</v>
      </c>
      <c r="G45" s="10">
        <v>100000</v>
      </c>
      <c r="H45" s="10">
        <f t="shared" si="0"/>
        <v>2200000</v>
      </c>
      <c r="I45" s="9" t="s">
        <v>82</v>
      </c>
      <c r="J45" s="9" t="s">
        <v>70</v>
      </c>
      <c r="K45" t="str">
        <f t="shared" si="1"/>
        <v>March</v>
      </c>
      <c r="M45" t="b">
        <f t="shared" si="2"/>
        <v>1</v>
      </c>
      <c r="N45" s="20">
        <f t="shared" si="3"/>
        <v>100000</v>
      </c>
      <c r="O45" s="20" t="b">
        <f t="shared" si="4"/>
        <v>1</v>
      </c>
      <c r="P45" t="b">
        <f t="shared" si="5"/>
        <v>1</v>
      </c>
    </row>
    <row r="46" spans="1:16" ht="15" customHeight="1" x14ac:dyDescent="0.3">
      <c r="A46" s="9" t="s">
        <v>300</v>
      </c>
      <c r="B46" s="21">
        <v>45728</v>
      </c>
      <c r="C46" s="15" t="s">
        <v>120</v>
      </c>
      <c r="D46" s="9" t="s">
        <v>111</v>
      </c>
      <c r="E46" s="9" t="s">
        <v>112</v>
      </c>
      <c r="F46" s="9">
        <v>23</v>
      </c>
      <c r="G46" s="10">
        <v>112000</v>
      </c>
      <c r="H46" s="10">
        <f t="shared" si="0"/>
        <v>2576000</v>
      </c>
      <c r="I46" s="9" t="s">
        <v>93</v>
      </c>
      <c r="J46" s="9" t="s">
        <v>70</v>
      </c>
      <c r="K46" t="str">
        <f t="shared" si="1"/>
        <v>March</v>
      </c>
      <c r="M46" t="b">
        <f t="shared" si="2"/>
        <v>1</v>
      </c>
      <c r="N46" s="20">
        <f t="shared" si="3"/>
        <v>112000</v>
      </c>
      <c r="O46" s="20" t="b">
        <f t="shared" si="4"/>
        <v>1</v>
      </c>
      <c r="P46" t="b">
        <f t="shared" si="5"/>
        <v>1</v>
      </c>
    </row>
    <row r="47" spans="1:16" ht="15" customHeight="1" x14ac:dyDescent="0.3">
      <c r="A47" s="9" t="s">
        <v>86</v>
      </c>
      <c r="B47" s="21">
        <v>45733</v>
      </c>
      <c r="C47" s="15" t="s">
        <v>84</v>
      </c>
      <c r="D47" s="9" t="s">
        <v>87</v>
      </c>
      <c r="E47" s="9" t="s">
        <v>88</v>
      </c>
      <c r="F47" s="9">
        <v>20</v>
      </c>
      <c r="G47" s="10">
        <v>128000</v>
      </c>
      <c r="H47" s="10">
        <f t="shared" si="0"/>
        <v>2560000</v>
      </c>
      <c r="I47" s="9" t="s">
        <v>89</v>
      </c>
      <c r="J47" s="9" t="s">
        <v>70</v>
      </c>
      <c r="K47" t="str">
        <f t="shared" si="1"/>
        <v>March</v>
      </c>
      <c r="M47" t="b">
        <f t="shared" si="2"/>
        <v>1</v>
      </c>
      <c r="N47" s="20">
        <f t="shared" si="3"/>
        <v>128000</v>
      </c>
      <c r="O47" s="20" t="b">
        <f t="shared" si="4"/>
        <v>1</v>
      </c>
      <c r="P47" t="b">
        <f t="shared" si="5"/>
        <v>1</v>
      </c>
    </row>
    <row r="48" spans="1:16" ht="15" customHeight="1" x14ac:dyDescent="0.3">
      <c r="A48" s="9" t="s">
        <v>185</v>
      </c>
      <c r="B48" s="21">
        <v>45735</v>
      </c>
      <c r="C48" s="15" t="s">
        <v>77</v>
      </c>
      <c r="D48" s="9" t="s">
        <v>73</v>
      </c>
      <c r="E48" s="9" t="s">
        <v>78</v>
      </c>
      <c r="F48" s="9">
        <v>23</v>
      </c>
      <c r="G48" s="10">
        <v>72000</v>
      </c>
      <c r="H48" s="10">
        <f t="shared" si="0"/>
        <v>1656000</v>
      </c>
      <c r="I48" s="9" t="s">
        <v>93</v>
      </c>
      <c r="J48" s="9" t="s">
        <v>70</v>
      </c>
      <c r="K48" t="str">
        <f t="shared" si="1"/>
        <v>March</v>
      </c>
      <c r="M48" t="b">
        <f t="shared" si="2"/>
        <v>1</v>
      </c>
      <c r="N48" s="20">
        <f t="shared" si="3"/>
        <v>72000</v>
      </c>
      <c r="O48" s="20" t="b">
        <f t="shared" si="4"/>
        <v>1</v>
      </c>
      <c r="P48" t="b">
        <f t="shared" si="5"/>
        <v>1</v>
      </c>
    </row>
    <row r="49" spans="1:16" ht="15" customHeight="1" x14ac:dyDescent="0.3">
      <c r="A49" s="9" t="s">
        <v>159</v>
      </c>
      <c r="B49" s="21">
        <v>45736</v>
      </c>
      <c r="C49" s="15" t="s">
        <v>136</v>
      </c>
      <c r="D49" s="9" t="s">
        <v>87</v>
      </c>
      <c r="E49" s="9" t="s">
        <v>126</v>
      </c>
      <c r="F49" s="9">
        <v>25</v>
      </c>
      <c r="G49" s="10">
        <v>45000</v>
      </c>
      <c r="H49" s="10">
        <f t="shared" si="0"/>
        <v>1125000</v>
      </c>
      <c r="I49" s="9" t="s">
        <v>69</v>
      </c>
      <c r="J49" s="9" t="s">
        <v>70</v>
      </c>
      <c r="K49" t="str">
        <f t="shared" si="1"/>
        <v>March</v>
      </c>
      <c r="M49" t="b">
        <f t="shared" si="2"/>
        <v>1</v>
      </c>
      <c r="N49" s="20">
        <f t="shared" si="3"/>
        <v>45000</v>
      </c>
      <c r="O49" s="20" t="b">
        <f t="shared" si="4"/>
        <v>1</v>
      </c>
      <c r="P49" t="b">
        <f t="shared" si="5"/>
        <v>1</v>
      </c>
    </row>
    <row r="50" spans="1:16" ht="15" customHeight="1" x14ac:dyDescent="0.3">
      <c r="A50" s="9" t="s">
        <v>181</v>
      </c>
      <c r="B50" s="21">
        <v>45737</v>
      </c>
      <c r="C50" s="15" t="s">
        <v>77</v>
      </c>
      <c r="D50" s="9" t="s">
        <v>87</v>
      </c>
      <c r="E50" s="9" t="s">
        <v>92</v>
      </c>
      <c r="F50" s="9">
        <v>14</v>
      </c>
      <c r="G50" s="10">
        <v>90000</v>
      </c>
      <c r="H50" s="10">
        <f t="shared" si="0"/>
        <v>1260000</v>
      </c>
      <c r="I50" s="9" t="s">
        <v>89</v>
      </c>
      <c r="J50" s="9" t="s">
        <v>79</v>
      </c>
      <c r="K50" t="str">
        <f t="shared" si="1"/>
        <v>March</v>
      </c>
      <c r="M50" t="b">
        <f t="shared" si="2"/>
        <v>1</v>
      </c>
      <c r="N50" s="20">
        <f t="shared" si="3"/>
        <v>90000</v>
      </c>
      <c r="O50" s="20" t="b">
        <f t="shared" si="4"/>
        <v>1</v>
      </c>
      <c r="P50" t="b">
        <f t="shared" si="5"/>
        <v>1</v>
      </c>
    </row>
    <row r="51" spans="1:16" ht="15" customHeight="1" x14ac:dyDescent="0.3">
      <c r="A51" s="9" t="s">
        <v>94</v>
      </c>
      <c r="B51" s="21">
        <v>45742</v>
      </c>
      <c r="C51" s="15" t="s">
        <v>91</v>
      </c>
      <c r="D51" s="9" t="s">
        <v>67</v>
      </c>
      <c r="E51" s="9" t="s">
        <v>95</v>
      </c>
      <c r="F51" s="9">
        <v>9</v>
      </c>
      <c r="G51" s="10">
        <v>235000</v>
      </c>
      <c r="H51" s="10">
        <f t="shared" si="0"/>
        <v>2115000</v>
      </c>
      <c r="I51" s="9" t="s">
        <v>93</v>
      </c>
      <c r="J51" s="9" t="s">
        <v>79</v>
      </c>
      <c r="K51" t="str">
        <f t="shared" si="1"/>
        <v>March</v>
      </c>
      <c r="M51" t="b">
        <f t="shared" si="2"/>
        <v>1</v>
      </c>
      <c r="N51" s="20">
        <f t="shared" si="3"/>
        <v>235000</v>
      </c>
      <c r="O51" s="20" t="b">
        <f t="shared" si="4"/>
        <v>1</v>
      </c>
      <c r="P51" t="b">
        <f t="shared" si="5"/>
        <v>1</v>
      </c>
    </row>
    <row r="52" spans="1:16" ht="15" customHeight="1" x14ac:dyDescent="0.3">
      <c r="A52" s="9" t="s">
        <v>262</v>
      </c>
      <c r="B52" s="21">
        <v>45747</v>
      </c>
      <c r="C52" s="15" t="s">
        <v>98</v>
      </c>
      <c r="D52" s="9" t="s">
        <v>73</v>
      </c>
      <c r="E52" s="9" t="s">
        <v>78</v>
      </c>
      <c r="F52" s="9">
        <v>17</v>
      </c>
      <c r="G52" s="10">
        <v>70000</v>
      </c>
      <c r="H52" s="10">
        <f t="shared" si="0"/>
        <v>1190000</v>
      </c>
      <c r="I52" s="9" t="s">
        <v>69</v>
      </c>
      <c r="J52" s="9" t="s">
        <v>70</v>
      </c>
      <c r="K52" t="str">
        <f t="shared" si="1"/>
        <v>March</v>
      </c>
      <c r="M52" t="b">
        <f t="shared" si="2"/>
        <v>1</v>
      </c>
      <c r="N52" s="20">
        <f t="shared" si="3"/>
        <v>70000</v>
      </c>
      <c r="O52" s="20" t="b">
        <f t="shared" si="4"/>
        <v>1</v>
      </c>
      <c r="P52" t="b">
        <f t="shared" si="5"/>
        <v>1</v>
      </c>
    </row>
    <row r="53" spans="1:16" ht="15" customHeight="1" x14ac:dyDescent="0.3">
      <c r="A53" s="9" t="s">
        <v>152</v>
      </c>
      <c r="B53" s="21">
        <v>45750</v>
      </c>
      <c r="C53" s="15" t="s">
        <v>107</v>
      </c>
      <c r="D53" s="9" t="s">
        <v>111</v>
      </c>
      <c r="E53" s="9" t="s">
        <v>153</v>
      </c>
      <c r="F53" s="9">
        <v>4</v>
      </c>
      <c r="G53" s="10">
        <v>99000</v>
      </c>
      <c r="H53" s="10">
        <f t="shared" si="0"/>
        <v>396000</v>
      </c>
      <c r="I53" s="9" t="s">
        <v>89</v>
      </c>
      <c r="J53" s="9" t="s">
        <v>79</v>
      </c>
      <c r="K53" t="str">
        <f t="shared" si="1"/>
        <v>April</v>
      </c>
      <c r="M53" t="b">
        <f t="shared" si="2"/>
        <v>1</v>
      </c>
      <c r="N53" s="20">
        <f t="shared" si="3"/>
        <v>99000</v>
      </c>
      <c r="O53" s="20" t="b">
        <f t="shared" si="4"/>
        <v>1</v>
      </c>
      <c r="P53" t="b">
        <f t="shared" si="5"/>
        <v>1</v>
      </c>
    </row>
    <row r="54" spans="1:16" ht="15" customHeight="1" x14ac:dyDescent="0.3">
      <c r="A54" s="9" t="s">
        <v>213</v>
      </c>
      <c r="B54" s="21">
        <v>45753</v>
      </c>
      <c r="C54" s="15" t="s">
        <v>81</v>
      </c>
      <c r="D54" s="9" t="s">
        <v>73</v>
      </c>
      <c r="E54" s="9" t="s">
        <v>102</v>
      </c>
      <c r="F54" s="9">
        <v>17</v>
      </c>
      <c r="G54" s="10">
        <v>74000</v>
      </c>
      <c r="H54" s="10">
        <f t="shared" si="0"/>
        <v>1258000</v>
      </c>
      <c r="I54" s="9" t="s">
        <v>89</v>
      </c>
      <c r="J54" s="9" t="s">
        <v>79</v>
      </c>
      <c r="K54" t="str">
        <f t="shared" si="1"/>
        <v>April</v>
      </c>
      <c r="M54" t="b">
        <f t="shared" si="2"/>
        <v>1</v>
      </c>
      <c r="N54" s="20">
        <f t="shared" si="3"/>
        <v>74000</v>
      </c>
      <c r="O54" s="20" t="b">
        <f t="shared" si="4"/>
        <v>1</v>
      </c>
      <c r="P54" t="b">
        <f t="shared" si="5"/>
        <v>1</v>
      </c>
    </row>
    <row r="55" spans="1:16" ht="15" customHeight="1" x14ac:dyDescent="0.3">
      <c r="A55" s="9" t="s">
        <v>191</v>
      </c>
      <c r="B55" s="21">
        <v>45762</v>
      </c>
      <c r="C55" s="15" t="s">
        <v>72</v>
      </c>
      <c r="D55" s="9" t="s">
        <v>87</v>
      </c>
      <c r="E55" s="9" t="s">
        <v>92</v>
      </c>
      <c r="F55" s="9">
        <v>25</v>
      </c>
      <c r="G55" s="10">
        <v>119000</v>
      </c>
      <c r="H55" s="10">
        <f t="shared" si="0"/>
        <v>2975000</v>
      </c>
      <c r="I55" s="9" t="s">
        <v>89</v>
      </c>
      <c r="J55" s="9" t="s">
        <v>79</v>
      </c>
      <c r="K55" t="str">
        <f t="shared" si="1"/>
        <v>April</v>
      </c>
      <c r="M55" t="b">
        <f t="shared" si="2"/>
        <v>1</v>
      </c>
      <c r="N55" s="20">
        <f t="shared" si="3"/>
        <v>119000</v>
      </c>
      <c r="O55" s="20" t="b">
        <f t="shared" si="4"/>
        <v>1</v>
      </c>
      <c r="P55" t="b">
        <f t="shared" si="5"/>
        <v>1</v>
      </c>
    </row>
    <row r="56" spans="1:16" ht="15" customHeight="1" x14ac:dyDescent="0.3">
      <c r="A56" s="9" t="s">
        <v>167</v>
      </c>
      <c r="B56" s="21">
        <v>45762</v>
      </c>
      <c r="C56" s="15" t="s">
        <v>72</v>
      </c>
      <c r="D56" s="9" t="s">
        <v>104</v>
      </c>
      <c r="E56" s="9" t="s">
        <v>133</v>
      </c>
      <c r="F56" s="9">
        <v>9</v>
      </c>
      <c r="G56" s="10">
        <v>136000</v>
      </c>
      <c r="H56" s="10">
        <f t="shared" si="0"/>
        <v>1224000</v>
      </c>
      <c r="I56" s="9" t="s">
        <v>75</v>
      </c>
      <c r="J56" s="9" t="s">
        <v>70</v>
      </c>
      <c r="K56" t="str">
        <f t="shared" si="1"/>
        <v>April</v>
      </c>
      <c r="M56" t="b">
        <f t="shared" si="2"/>
        <v>1</v>
      </c>
      <c r="N56" s="20">
        <f t="shared" si="3"/>
        <v>136000</v>
      </c>
      <c r="O56" s="20" t="b">
        <f t="shared" si="4"/>
        <v>1</v>
      </c>
      <c r="P56" t="b">
        <f t="shared" si="5"/>
        <v>1</v>
      </c>
    </row>
    <row r="57" spans="1:16" ht="15" customHeight="1" x14ac:dyDescent="0.3">
      <c r="A57" s="9" t="s">
        <v>234</v>
      </c>
      <c r="B57" s="21">
        <v>45766</v>
      </c>
      <c r="C57" s="15" t="s">
        <v>101</v>
      </c>
      <c r="D57" s="9" t="s">
        <v>67</v>
      </c>
      <c r="E57" s="9" t="s">
        <v>85</v>
      </c>
      <c r="F57" s="9">
        <v>11</v>
      </c>
      <c r="G57" s="10">
        <v>97000</v>
      </c>
      <c r="H57" s="10">
        <f t="shared" si="0"/>
        <v>1067000</v>
      </c>
      <c r="I57" s="9" t="s">
        <v>69</v>
      </c>
      <c r="J57" s="9" t="s">
        <v>79</v>
      </c>
      <c r="K57" t="str">
        <f t="shared" si="1"/>
        <v>April</v>
      </c>
      <c r="M57" t="b">
        <f t="shared" si="2"/>
        <v>1</v>
      </c>
      <c r="N57" s="20">
        <f t="shared" si="3"/>
        <v>97000</v>
      </c>
      <c r="O57" s="20" t="b">
        <f t="shared" si="4"/>
        <v>1</v>
      </c>
      <c r="P57" t="b">
        <f t="shared" si="5"/>
        <v>1</v>
      </c>
    </row>
    <row r="58" spans="1:16" ht="15" customHeight="1" x14ac:dyDescent="0.3">
      <c r="A58" s="9" t="s">
        <v>287</v>
      </c>
      <c r="B58" s="21">
        <v>45767</v>
      </c>
      <c r="C58" s="15" t="s">
        <v>136</v>
      </c>
      <c r="D58" s="9" t="s">
        <v>73</v>
      </c>
      <c r="E58" s="9" t="s">
        <v>78</v>
      </c>
      <c r="F58" s="9">
        <v>8</v>
      </c>
      <c r="G58" s="10">
        <v>57000</v>
      </c>
      <c r="H58" s="10">
        <f t="shared" si="0"/>
        <v>456000</v>
      </c>
      <c r="I58" s="9" t="s">
        <v>69</v>
      </c>
      <c r="J58" s="9" t="s">
        <v>70</v>
      </c>
      <c r="K58" t="str">
        <f t="shared" si="1"/>
        <v>April</v>
      </c>
      <c r="M58" t="b">
        <f t="shared" si="2"/>
        <v>1</v>
      </c>
      <c r="N58" s="20">
        <f t="shared" si="3"/>
        <v>57000</v>
      </c>
      <c r="O58" s="20" t="b">
        <f t="shared" si="4"/>
        <v>1</v>
      </c>
      <c r="P58" t="b">
        <f t="shared" si="5"/>
        <v>1</v>
      </c>
    </row>
    <row r="59" spans="1:16" ht="15" customHeight="1" x14ac:dyDescent="0.3">
      <c r="A59" s="9" t="s">
        <v>205</v>
      </c>
      <c r="B59" s="21">
        <v>45767</v>
      </c>
      <c r="C59" s="15" t="s">
        <v>77</v>
      </c>
      <c r="D59" s="9" t="s">
        <v>104</v>
      </c>
      <c r="E59" s="9" t="s">
        <v>145</v>
      </c>
      <c r="F59" s="9">
        <v>18</v>
      </c>
      <c r="G59" s="10">
        <v>108000</v>
      </c>
      <c r="H59" s="10">
        <f t="shared" si="0"/>
        <v>1944000</v>
      </c>
      <c r="I59" s="9" t="s">
        <v>93</v>
      </c>
      <c r="J59" s="9" t="s">
        <v>70</v>
      </c>
      <c r="K59" t="str">
        <f t="shared" si="1"/>
        <v>April</v>
      </c>
      <c r="M59" t="b">
        <f t="shared" si="2"/>
        <v>1</v>
      </c>
      <c r="N59" s="20">
        <f t="shared" si="3"/>
        <v>108000</v>
      </c>
      <c r="O59" s="20" t="b">
        <f t="shared" si="4"/>
        <v>1</v>
      </c>
      <c r="P59" t="b">
        <f t="shared" si="5"/>
        <v>1</v>
      </c>
    </row>
    <row r="60" spans="1:16" ht="15" customHeight="1" x14ac:dyDescent="0.3">
      <c r="A60" s="9" t="s">
        <v>295</v>
      </c>
      <c r="B60" s="21">
        <v>45774</v>
      </c>
      <c r="C60" s="15" t="s">
        <v>77</v>
      </c>
      <c r="D60" s="9" t="s">
        <v>67</v>
      </c>
      <c r="E60" s="9" t="s">
        <v>68</v>
      </c>
      <c r="F60" s="9">
        <v>7</v>
      </c>
      <c r="G60" s="10">
        <v>137000</v>
      </c>
      <c r="H60" s="10">
        <f t="shared" si="0"/>
        <v>959000</v>
      </c>
      <c r="I60" s="9" t="s">
        <v>75</v>
      </c>
      <c r="J60" s="9" t="s">
        <v>70</v>
      </c>
      <c r="K60" t="str">
        <f t="shared" si="1"/>
        <v>April</v>
      </c>
      <c r="M60" t="b">
        <f t="shared" si="2"/>
        <v>1</v>
      </c>
      <c r="N60" s="20">
        <f t="shared" si="3"/>
        <v>137000</v>
      </c>
      <c r="O60" s="20" t="b">
        <f t="shared" si="4"/>
        <v>1</v>
      </c>
      <c r="P60" t="b">
        <f t="shared" si="5"/>
        <v>1</v>
      </c>
    </row>
    <row r="61" spans="1:16" ht="15" customHeight="1" x14ac:dyDescent="0.3">
      <c r="A61" s="9" t="s">
        <v>103</v>
      </c>
      <c r="B61" s="21">
        <v>45775</v>
      </c>
      <c r="C61" s="15" t="s">
        <v>101</v>
      </c>
      <c r="D61" s="9" t="s">
        <v>104</v>
      </c>
      <c r="E61" s="9" t="s">
        <v>105</v>
      </c>
      <c r="F61" s="9">
        <v>25</v>
      </c>
      <c r="G61" s="10">
        <v>127000</v>
      </c>
      <c r="H61" s="10">
        <f t="shared" si="0"/>
        <v>3175000</v>
      </c>
      <c r="I61" s="9" t="s">
        <v>82</v>
      </c>
      <c r="J61" s="9" t="s">
        <v>70</v>
      </c>
      <c r="K61" t="str">
        <f t="shared" si="1"/>
        <v>April</v>
      </c>
      <c r="M61" t="b">
        <f t="shared" si="2"/>
        <v>1</v>
      </c>
      <c r="N61" s="20">
        <f t="shared" si="3"/>
        <v>127000</v>
      </c>
      <c r="O61" s="20" t="b">
        <f t="shared" si="4"/>
        <v>1</v>
      </c>
      <c r="P61" t="b">
        <f t="shared" si="5"/>
        <v>1</v>
      </c>
    </row>
    <row r="62" spans="1:16" ht="15" customHeight="1" x14ac:dyDescent="0.3">
      <c r="A62" s="9" t="s">
        <v>307</v>
      </c>
      <c r="B62" s="21">
        <v>45777</v>
      </c>
      <c r="C62" s="15" t="s">
        <v>84</v>
      </c>
      <c r="D62" s="9" t="s">
        <v>73</v>
      </c>
      <c r="E62" s="9" t="s">
        <v>102</v>
      </c>
      <c r="F62" s="9">
        <v>15</v>
      </c>
      <c r="G62" s="10">
        <v>67000</v>
      </c>
      <c r="H62" s="10">
        <f t="shared" si="0"/>
        <v>1005000</v>
      </c>
      <c r="I62" s="9" t="s">
        <v>82</v>
      </c>
      <c r="J62" s="9" t="s">
        <v>79</v>
      </c>
      <c r="K62" t="str">
        <f t="shared" si="1"/>
        <v>April</v>
      </c>
      <c r="M62" t="b">
        <f t="shared" si="2"/>
        <v>1</v>
      </c>
      <c r="N62" s="20">
        <f t="shared" si="3"/>
        <v>67000</v>
      </c>
      <c r="O62" s="20" t="b">
        <f t="shared" si="4"/>
        <v>1</v>
      </c>
      <c r="P62" t="b">
        <f t="shared" si="5"/>
        <v>1</v>
      </c>
    </row>
    <row r="63" spans="1:16" ht="15" customHeight="1" x14ac:dyDescent="0.3">
      <c r="A63" s="9" t="s">
        <v>231</v>
      </c>
      <c r="B63" s="21">
        <v>45780</v>
      </c>
      <c r="C63" s="15" t="s">
        <v>72</v>
      </c>
      <c r="D63" s="9" t="s">
        <v>73</v>
      </c>
      <c r="E63" s="9" t="s">
        <v>109</v>
      </c>
      <c r="F63" s="9">
        <v>23</v>
      </c>
      <c r="G63" s="10">
        <v>62000</v>
      </c>
      <c r="H63" s="10">
        <f t="shared" si="0"/>
        <v>1426000</v>
      </c>
      <c r="I63" s="9" t="s">
        <v>93</v>
      </c>
      <c r="J63" s="9" t="s">
        <v>70</v>
      </c>
      <c r="K63" t="str">
        <f t="shared" si="1"/>
        <v>May</v>
      </c>
      <c r="M63" t="b">
        <f t="shared" si="2"/>
        <v>1</v>
      </c>
      <c r="N63" s="20">
        <f t="shared" si="3"/>
        <v>62000</v>
      </c>
      <c r="O63" s="20" t="b">
        <f t="shared" si="4"/>
        <v>1</v>
      </c>
      <c r="P63" t="b">
        <f t="shared" si="5"/>
        <v>1</v>
      </c>
    </row>
    <row r="64" spans="1:16" ht="15" customHeight="1" x14ac:dyDescent="0.3">
      <c r="A64" s="9" t="s">
        <v>246</v>
      </c>
      <c r="B64" s="21">
        <v>45782</v>
      </c>
      <c r="C64" s="15" t="s">
        <v>81</v>
      </c>
      <c r="D64" s="9" t="s">
        <v>73</v>
      </c>
      <c r="E64" s="9" t="s">
        <v>78</v>
      </c>
      <c r="F64" s="9">
        <v>4</v>
      </c>
      <c r="G64" s="10">
        <v>74000</v>
      </c>
      <c r="H64" s="10">
        <f t="shared" si="0"/>
        <v>296000</v>
      </c>
      <c r="I64" s="9" t="s">
        <v>89</v>
      </c>
      <c r="J64" s="9" t="s">
        <v>79</v>
      </c>
      <c r="K64" t="str">
        <f t="shared" si="1"/>
        <v>May</v>
      </c>
      <c r="M64" t="b">
        <f t="shared" si="2"/>
        <v>1</v>
      </c>
      <c r="N64" s="20">
        <f t="shared" si="3"/>
        <v>74000</v>
      </c>
      <c r="O64" s="20" t="b">
        <f t="shared" si="4"/>
        <v>1</v>
      </c>
      <c r="P64" t="b">
        <f t="shared" si="5"/>
        <v>1</v>
      </c>
    </row>
    <row r="65" spans="1:16" ht="15" customHeight="1" x14ac:dyDescent="0.3">
      <c r="A65" s="9" t="s">
        <v>265</v>
      </c>
      <c r="B65" s="21">
        <v>45783</v>
      </c>
      <c r="C65" s="15" t="s">
        <v>136</v>
      </c>
      <c r="D65" s="9" t="s">
        <v>111</v>
      </c>
      <c r="E65" s="9" t="s">
        <v>173</v>
      </c>
      <c r="F65" s="9">
        <v>15</v>
      </c>
      <c r="G65" s="10">
        <v>93000</v>
      </c>
      <c r="H65" s="10">
        <f t="shared" si="0"/>
        <v>1395000</v>
      </c>
      <c r="I65" s="9" t="s">
        <v>93</v>
      </c>
      <c r="J65" s="9" t="s">
        <v>70</v>
      </c>
      <c r="K65" t="str">
        <f t="shared" si="1"/>
        <v>May</v>
      </c>
      <c r="M65" t="b">
        <f t="shared" si="2"/>
        <v>1</v>
      </c>
      <c r="N65" s="20">
        <f t="shared" si="3"/>
        <v>93000</v>
      </c>
      <c r="O65" s="20" t="b">
        <f t="shared" si="4"/>
        <v>1</v>
      </c>
      <c r="P65" t="b">
        <f t="shared" si="5"/>
        <v>1</v>
      </c>
    </row>
    <row r="66" spans="1:16" ht="15" customHeight="1" x14ac:dyDescent="0.3">
      <c r="A66" s="9" t="s">
        <v>298</v>
      </c>
      <c r="B66" s="21">
        <v>45784</v>
      </c>
      <c r="C66" s="15" t="s">
        <v>98</v>
      </c>
      <c r="D66" s="9" t="s">
        <v>67</v>
      </c>
      <c r="E66" s="9" t="s">
        <v>85</v>
      </c>
      <c r="F66" s="9">
        <v>10</v>
      </c>
      <c r="G66" s="10">
        <v>133000</v>
      </c>
      <c r="H66" s="10">
        <f t="shared" ref="H66:H129" si="6">F66*G66</f>
        <v>1330000</v>
      </c>
      <c r="I66" s="9" t="s">
        <v>75</v>
      </c>
      <c r="J66" s="9" t="s">
        <v>115</v>
      </c>
      <c r="K66" t="str">
        <f t="shared" ref="K66:K129" si="7">TEXT(B66,"MMMM")</f>
        <v>May</v>
      </c>
      <c r="M66" t="b">
        <f t="shared" si="2"/>
        <v>1</v>
      </c>
      <c r="N66" s="20">
        <f t="shared" si="3"/>
        <v>133000</v>
      </c>
      <c r="O66" s="20" t="b">
        <f t="shared" si="4"/>
        <v>1</v>
      </c>
      <c r="P66" t="b">
        <f t="shared" si="5"/>
        <v>1</v>
      </c>
    </row>
    <row r="67" spans="1:16" ht="15" customHeight="1" x14ac:dyDescent="0.3">
      <c r="A67" s="9" t="s">
        <v>194</v>
      </c>
      <c r="B67" s="21">
        <v>45785</v>
      </c>
      <c r="C67" s="15" t="s">
        <v>72</v>
      </c>
      <c r="D67" s="9" t="s">
        <v>87</v>
      </c>
      <c r="E67" s="9" t="s">
        <v>140</v>
      </c>
      <c r="F67" s="9">
        <v>13</v>
      </c>
      <c r="G67" s="10">
        <v>165000</v>
      </c>
      <c r="H67" s="10">
        <f t="shared" si="6"/>
        <v>2145000</v>
      </c>
      <c r="I67" s="9" t="s">
        <v>89</v>
      </c>
      <c r="J67" s="9" t="s">
        <v>70</v>
      </c>
      <c r="K67" t="str">
        <f t="shared" si="7"/>
        <v>May</v>
      </c>
      <c r="M67" t="b">
        <f t="shared" ref="M67:M130" si="8">ISNUMBER(F67)</f>
        <v>1</v>
      </c>
      <c r="N67" s="20">
        <f t="shared" ref="N67:N130" si="9">VALUE(SUBSTITUTE(SUBSTITUTE(G67,"Rp",""),",",""))</f>
        <v>165000</v>
      </c>
      <c r="O67" s="20" t="b">
        <f t="shared" ref="O67:O130" si="10">AND(B67&gt;=DATE(2025,1,1), B67&lt;=DATE(2025,12,31))</f>
        <v>1</v>
      </c>
      <c r="P67" t="b">
        <f t="shared" ref="P67:P130" si="11">ROUND(F67*G67,0)=ROUND(H67,0)</f>
        <v>1</v>
      </c>
    </row>
    <row r="68" spans="1:16" ht="15" customHeight="1" x14ac:dyDescent="0.3">
      <c r="A68" s="9" t="s">
        <v>172</v>
      </c>
      <c r="B68" s="21">
        <v>45791</v>
      </c>
      <c r="C68" s="15" t="s">
        <v>77</v>
      </c>
      <c r="D68" s="9" t="s">
        <v>111</v>
      </c>
      <c r="E68" s="9" t="s">
        <v>173</v>
      </c>
      <c r="F68" s="9">
        <v>9</v>
      </c>
      <c r="G68" s="10">
        <v>100000</v>
      </c>
      <c r="H68" s="10">
        <f t="shared" si="6"/>
        <v>900000</v>
      </c>
      <c r="I68" s="9" t="s">
        <v>75</v>
      </c>
      <c r="J68" s="9" t="s">
        <v>115</v>
      </c>
      <c r="K68" t="str">
        <f t="shared" si="7"/>
        <v>May</v>
      </c>
      <c r="M68" t="b">
        <f t="shared" si="8"/>
        <v>1</v>
      </c>
      <c r="N68" s="20">
        <f t="shared" si="9"/>
        <v>100000</v>
      </c>
      <c r="O68" s="20" t="b">
        <f t="shared" si="10"/>
        <v>1</v>
      </c>
      <c r="P68" t="b">
        <f t="shared" si="11"/>
        <v>1</v>
      </c>
    </row>
    <row r="69" spans="1:16" ht="15" customHeight="1" x14ac:dyDescent="0.3">
      <c r="A69" s="9" t="s">
        <v>125</v>
      </c>
      <c r="B69" s="21">
        <v>45791</v>
      </c>
      <c r="C69" s="15" t="s">
        <v>81</v>
      </c>
      <c r="D69" s="9" t="s">
        <v>87</v>
      </c>
      <c r="E69" s="9" t="s">
        <v>126</v>
      </c>
      <c r="F69" s="9">
        <v>10</v>
      </c>
      <c r="G69" s="10">
        <v>170000</v>
      </c>
      <c r="H69" s="10">
        <f t="shared" si="6"/>
        <v>1700000</v>
      </c>
      <c r="I69" s="9" t="s">
        <v>69</v>
      </c>
      <c r="J69" s="9" t="s">
        <v>70</v>
      </c>
      <c r="K69" t="str">
        <f t="shared" si="7"/>
        <v>May</v>
      </c>
      <c r="M69" t="b">
        <f t="shared" si="8"/>
        <v>1</v>
      </c>
      <c r="N69" s="20">
        <f t="shared" si="9"/>
        <v>170000</v>
      </c>
      <c r="O69" s="20" t="b">
        <f t="shared" si="10"/>
        <v>1</v>
      </c>
      <c r="P69" t="b">
        <f t="shared" si="11"/>
        <v>1</v>
      </c>
    </row>
    <row r="70" spans="1:16" ht="15" customHeight="1" x14ac:dyDescent="0.3">
      <c r="A70" s="9" t="s">
        <v>309</v>
      </c>
      <c r="B70" s="21">
        <v>45793</v>
      </c>
      <c r="C70" s="15" t="s">
        <v>84</v>
      </c>
      <c r="D70" s="9" t="s">
        <v>87</v>
      </c>
      <c r="E70" s="9" t="s">
        <v>92</v>
      </c>
      <c r="F70" s="9">
        <v>6</v>
      </c>
      <c r="G70" s="10">
        <v>64000</v>
      </c>
      <c r="H70" s="10">
        <f t="shared" si="6"/>
        <v>384000</v>
      </c>
      <c r="I70" s="9" t="s">
        <v>89</v>
      </c>
      <c r="J70" s="9" t="s">
        <v>79</v>
      </c>
      <c r="K70" t="str">
        <f t="shared" si="7"/>
        <v>May</v>
      </c>
      <c r="M70" t="b">
        <f t="shared" si="8"/>
        <v>1</v>
      </c>
      <c r="N70" s="20">
        <f t="shared" si="9"/>
        <v>64000</v>
      </c>
      <c r="O70" s="20" t="b">
        <f t="shared" si="10"/>
        <v>1</v>
      </c>
      <c r="P70" t="b">
        <f t="shared" si="11"/>
        <v>1</v>
      </c>
    </row>
    <row r="71" spans="1:16" ht="15" customHeight="1" x14ac:dyDescent="0.3">
      <c r="A71" s="9" t="s">
        <v>284</v>
      </c>
      <c r="B71" s="21">
        <v>45793</v>
      </c>
      <c r="C71" s="15" t="s">
        <v>136</v>
      </c>
      <c r="D71" s="9" t="s">
        <v>104</v>
      </c>
      <c r="E71" s="9" t="s">
        <v>133</v>
      </c>
      <c r="F71" s="9">
        <v>21</v>
      </c>
      <c r="G71" s="10">
        <v>78000</v>
      </c>
      <c r="H71" s="10">
        <f t="shared" si="6"/>
        <v>1638000</v>
      </c>
      <c r="I71" s="9" t="s">
        <v>75</v>
      </c>
      <c r="J71" s="9" t="s">
        <v>79</v>
      </c>
      <c r="K71" t="str">
        <f t="shared" si="7"/>
        <v>May</v>
      </c>
      <c r="M71" t="b">
        <f t="shared" si="8"/>
        <v>1</v>
      </c>
      <c r="N71" s="20">
        <f t="shared" si="9"/>
        <v>78000</v>
      </c>
      <c r="O71" s="20" t="b">
        <f t="shared" si="10"/>
        <v>1</v>
      </c>
      <c r="P71" t="b">
        <f t="shared" si="11"/>
        <v>1</v>
      </c>
    </row>
    <row r="72" spans="1:16" ht="15" customHeight="1" x14ac:dyDescent="0.3">
      <c r="A72" s="9" t="s">
        <v>225</v>
      </c>
      <c r="B72" s="21">
        <v>45797</v>
      </c>
      <c r="C72" s="15" t="s">
        <v>107</v>
      </c>
      <c r="D72" s="9" t="s">
        <v>104</v>
      </c>
      <c r="E72" s="9" t="s">
        <v>133</v>
      </c>
      <c r="F72" s="9">
        <v>15</v>
      </c>
      <c r="G72" s="10">
        <v>107000</v>
      </c>
      <c r="H72" s="10">
        <f t="shared" si="6"/>
        <v>1605000</v>
      </c>
      <c r="I72" s="9" t="s">
        <v>75</v>
      </c>
      <c r="J72" s="9" t="s">
        <v>70</v>
      </c>
      <c r="K72" t="str">
        <f t="shared" si="7"/>
        <v>May</v>
      </c>
      <c r="M72" t="b">
        <f t="shared" si="8"/>
        <v>1</v>
      </c>
      <c r="N72" s="20">
        <f t="shared" si="9"/>
        <v>107000</v>
      </c>
      <c r="O72" s="20" t="b">
        <f t="shared" si="10"/>
        <v>1</v>
      </c>
      <c r="P72" t="b">
        <f t="shared" si="11"/>
        <v>1</v>
      </c>
    </row>
    <row r="73" spans="1:16" ht="15" customHeight="1" x14ac:dyDescent="0.3">
      <c r="A73" s="9" t="s">
        <v>162</v>
      </c>
      <c r="B73" s="21">
        <v>45803</v>
      </c>
      <c r="C73" s="15" t="s">
        <v>107</v>
      </c>
      <c r="D73" s="9" t="s">
        <v>104</v>
      </c>
      <c r="E73" s="9" t="s">
        <v>145</v>
      </c>
      <c r="F73" s="9">
        <v>3</v>
      </c>
      <c r="G73" s="10">
        <v>58000</v>
      </c>
      <c r="H73" s="10">
        <f t="shared" si="6"/>
        <v>174000</v>
      </c>
      <c r="I73" s="9" t="s">
        <v>82</v>
      </c>
      <c r="J73" s="9" t="s">
        <v>70</v>
      </c>
      <c r="K73" t="str">
        <f t="shared" si="7"/>
        <v>May</v>
      </c>
      <c r="M73" t="b">
        <f t="shared" si="8"/>
        <v>1</v>
      </c>
      <c r="N73" s="20">
        <f t="shared" si="9"/>
        <v>58000</v>
      </c>
      <c r="O73" s="20" t="b">
        <f t="shared" si="10"/>
        <v>1</v>
      </c>
      <c r="P73" t="b">
        <f t="shared" si="11"/>
        <v>1</v>
      </c>
    </row>
    <row r="74" spans="1:16" ht="15" customHeight="1" x14ac:dyDescent="0.3">
      <c r="A74" s="9" t="s">
        <v>158</v>
      </c>
      <c r="B74" s="21">
        <v>45804</v>
      </c>
      <c r="C74" s="15" t="s">
        <v>77</v>
      </c>
      <c r="D74" s="9" t="s">
        <v>104</v>
      </c>
      <c r="E74" s="9" t="s">
        <v>145</v>
      </c>
      <c r="F74" s="9">
        <v>8</v>
      </c>
      <c r="G74" s="10">
        <v>116000</v>
      </c>
      <c r="H74" s="10">
        <f t="shared" si="6"/>
        <v>928000</v>
      </c>
      <c r="I74" s="9" t="s">
        <v>82</v>
      </c>
      <c r="J74" s="9" t="s">
        <v>79</v>
      </c>
      <c r="K74" t="str">
        <f t="shared" si="7"/>
        <v>May</v>
      </c>
      <c r="M74" t="b">
        <f t="shared" si="8"/>
        <v>1</v>
      </c>
      <c r="N74" s="20">
        <f t="shared" si="9"/>
        <v>116000</v>
      </c>
      <c r="O74" s="20" t="b">
        <f t="shared" si="10"/>
        <v>1</v>
      </c>
      <c r="P74" t="b">
        <f t="shared" si="11"/>
        <v>1</v>
      </c>
    </row>
    <row r="75" spans="1:16" ht="15" customHeight="1" x14ac:dyDescent="0.3">
      <c r="A75" s="9" t="s">
        <v>292</v>
      </c>
      <c r="B75" s="21">
        <v>45807</v>
      </c>
      <c r="C75" s="15" t="s">
        <v>107</v>
      </c>
      <c r="D75" s="9" t="s">
        <v>111</v>
      </c>
      <c r="E75" s="9" t="s">
        <v>112</v>
      </c>
      <c r="F75" s="9">
        <v>16</v>
      </c>
      <c r="G75" s="10">
        <v>73000</v>
      </c>
      <c r="H75" s="10">
        <f t="shared" si="6"/>
        <v>1168000</v>
      </c>
      <c r="I75" s="9" t="s">
        <v>89</v>
      </c>
      <c r="J75" s="9" t="s">
        <v>70</v>
      </c>
      <c r="K75" t="str">
        <f t="shared" si="7"/>
        <v>May</v>
      </c>
      <c r="M75" t="b">
        <f t="shared" si="8"/>
        <v>1</v>
      </c>
      <c r="N75" s="20">
        <f t="shared" si="9"/>
        <v>73000</v>
      </c>
      <c r="O75" s="20" t="b">
        <f t="shared" si="10"/>
        <v>1</v>
      </c>
      <c r="P75" t="b">
        <f t="shared" si="11"/>
        <v>1</v>
      </c>
    </row>
    <row r="76" spans="1:16" ht="15" customHeight="1" x14ac:dyDescent="0.3">
      <c r="A76" s="9" t="s">
        <v>100</v>
      </c>
      <c r="B76" s="21">
        <v>45810</v>
      </c>
      <c r="C76" s="15" t="s">
        <v>101</v>
      </c>
      <c r="D76" s="9" t="s">
        <v>73</v>
      </c>
      <c r="E76" s="9" t="s">
        <v>102</v>
      </c>
      <c r="F76" s="9">
        <v>19</v>
      </c>
      <c r="G76" s="10">
        <v>32000</v>
      </c>
      <c r="H76" s="10">
        <f t="shared" si="6"/>
        <v>608000</v>
      </c>
      <c r="I76" s="9" t="s">
        <v>82</v>
      </c>
      <c r="J76" s="9" t="s">
        <v>79</v>
      </c>
      <c r="K76" t="str">
        <f t="shared" si="7"/>
        <v>June</v>
      </c>
      <c r="M76" t="b">
        <f t="shared" si="8"/>
        <v>1</v>
      </c>
      <c r="N76" s="20">
        <f t="shared" si="9"/>
        <v>32000</v>
      </c>
      <c r="O76" s="20" t="b">
        <f t="shared" si="10"/>
        <v>1</v>
      </c>
      <c r="P76" t="b">
        <f t="shared" si="11"/>
        <v>1</v>
      </c>
    </row>
    <row r="77" spans="1:16" ht="15" customHeight="1" x14ac:dyDescent="0.3">
      <c r="A77" s="9" t="s">
        <v>320</v>
      </c>
      <c r="B77" s="21">
        <v>45810</v>
      </c>
      <c r="C77" s="15" t="s">
        <v>101</v>
      </c>
      <c r="D77" s="9" t="s">
        <v>104</v>
      </c>
      <c r="E77" s="9" t="s">
        <v>133</v>
      </c>
      <c r="F77" s="9">
        <v>5</v>
      </c>
      <c r="G77" s="10">
        <v>100000</v>
      </c>
      <c r="H77" s="10">
        <f t="shared" si="6"/>
        <v>500000</v>
      </c>
      <c r="I77" s="9" t="s">
        <v>93</v>
      </c>
      <c r="J77" s="9" t="s">
        <v>70</v>
      </c>
      <c r="K77" t="str">
        <f t="shared" si="7"/>
        <v>June</v>
      </c>
      <c r="M77" t="b">
        <f t="shared" si="8"/>
        <v>1</v>
      </c>
      <c r="N77" s="20">
        <f t="shared" si="9"/>
        <v>100000</v>
      </c>
      <c r="O77" s="20" t="b">
        <f t="shared" si="10"/>
        <v>1</v>
      </c>
      <c r="P77" t="b">
        <f t="shared" si="11"/>
        <v>1</v>
      </c>
    </row>
    <row r="78" spans="1:16" ht="15" customHeight="1" x14ac:dyDescent="0.3">
      <c r="A78" s="9" t="s">
        <v>280</v>
      </c>
      <c r="B78" s="21">
        <v>45815</v>
      </c>
      <c r="C78" s="15" t="s">
        <v>120</v>
      </c>
      <c r="D78" s="9" t="s">
        <v>73</v>
      </c>
      <c r="E78" s="9" t="s">
        <v>102</v>
      </c>
      <c r="F78" s="9">
        <v>1</v>
      </c>
      <c r="G78" s="10">
        <v>29000</v>
      </c>
      <c r="H78" s="10">
        <f t="shared" si="6"/>
        <v>29000</v>
      </c>
      <c r="I78" s="9" t="s">
        <v>89</v>
      </c>
      <c r="J78" s="9" t="s">
        <v>70</v>
      </c>
      <c r="K78" t="str">
        <f t="shared" si="7"/>
        <v>June</v>
      </c>
      <c r="M78" t="b">
        <f t="shared" si="8"/>
        <v>1</v>
      </c>
      <c r="N78" s="20">
        <f t="shared" si="9"/>
        <v>29000</v>
      </c>
      <c r="O78" s="20" t="b">
        <f t="shared" si="10"/>
        <v>1</v>
      </c>
      <c r="P78" t="b">
        <f t="shared" si="11"/>
        <v>1</v>
      </c>
    </row>
    <row r="79" spans="1:16" ht="15" customHeight="1" x14ac:dyDescent="0.3">
      <c r="A79" s="9" t="s">
        <v>233</v>
      </c>
      <c r="B79" s="21">
        <v>45818</v>
      </c>
      <c r="C79" s="15" t="s">
        <v>77</v>
      </c>
      <c r="D79" s="9" t="s">
        <v>87</v>
      </c>
      <c r="E79" s="9" t="s">
        <v>177</v>
      </c>
      <c r="F79" s="9">
        <v>17</v>
      </c>
      <c r="G79" s="10">
        <v>172000</v>
      </c>
      <c r="H79" s="10">
        <f t="shared" si="6"/>
        <v>2924000</v>
      </c>
      <c r="I79" s="9" t="s">
        <v>69</v>
      </c>
      <c r="J79" s="9" t="s">
        <v>115</v>
      </c>
      <c r="K79" t="str">
        <f t="shared" si="7"/>
        <v>June</v>
      </c>
      <c r="M79" t="b">
        <f t="shared" si="8"/>
        <v>1</v>
      </c>
      <c r="N79" s="20">
        <f t="shared" si="9"/>
        <v>172000</v>
      </c>
      <c r="O79" s="20" t="b">
        <f t="shared" si="10"/>
        <v>1</v>
      </c>
      <c r="P79" t="b">
        <f t="shared" si="11"/>
        <v>1</v>
      </c>
    </row>
    <row r="80" spans="1:16" ht="15" customHeight="1" x14ac:dyDescent="0.3">
      <c r="A80" s="9" t="s">
        <v>238</v>
      </c>
      <c r="B80" s="21">
        <v>45822</v>
      </c>
      <c r="C80" s="15" t="s">
        <v>77</v>
      </c>
      <c r="D80" s="9" t="s">
        <v>87</v>
      </c>
      <c r="E80" s="9" t="s">
        <v>126</v>
      </c>
      <c r="F80" s="9">
        <v>13</v>
      </c>
      <c r="G80" s="10">
        <v>150000</v>
      </c>
      <c r="H80" s="10">
        <f t="shared" si="6"/>
        <v>1950000</v>
      </c>
      <c r="I80" s="9" t="s">
        <v>89</v>
      </c>
      <c r="J80" s="9" t="s">
        <v>79</v>
      </c>
      <c r="K80" t="str">
        <f t="shared" si="7"/>
        <v>June</v>
      </c>
      <c r="M80" t="b">
        <f t="shared" si="8"/>
        <v>1</v>
      </c>
      <c r="N80" s="20">
        <f t="shared" si="9"/>
        <v>150000</v>
      </c>
      <c r="O80" s="20" t="b">
        <f t="shared" si="10"/>
        <v>1</v>
      </c>
      <c r="P80" t="b">
        <f t="shared" si="11"/>
        <v>1</v>
      </c>
    </row>
    <row r="81" spans="1:16" ht="15" customHeight="1" x14ac:dyDescent="0.3">
      <c r="A81" s="9" t="s">
        <v>332</v>
      </c>
      <c r="B81" s="21">
        <v>45823</v>
      </c>
      <c r="C81" s="15" t="s">
        <v>77</v>
      </c>
      <c r="D81" s="9" t="s">
        <v>111</v>
      </c>
      <c r="E81" s="9" t="s">
        <v>148</v>
      </c>
      <c r="F81" s="9">
        <v>10</v>
      </c>
      <c r="G81" s="10">
        <v>40000</v>
      </c>
      <c r="H81" s="10">
        <f t="shared" si="6"/>
        <v>400000</v>
      </c>
      <c r="I81" s="9" t="s">
        <v>82</v>
      </c>
      <c r="J81" s="9" t="s">
        <v>79</v>
      </c>
      <c r="K81" t="str">
        <f t="shared" si="7"/>
        <v>June</v>
      </c>
      <c r="M81" t="b">
        <f t="shared" si="8"/>
        <v>1</v>
      </c>
      <c r="N81" s="20">
        <f t="shared" si="9"/>
        <v>40000</v>
      </c>
      <c r="O81" s="20" t="b">
        <f t="shared" si="10"/>
        <v>1</v>
      </c>
      <c r="P81" t="b">
        <f t="shared" si="11"/>
        <v>1</v>
      </c>
    </row>
    <row r="82" spans="1:16" ht="15" customHeight="1" x14ac:dyDescent="0.3">
      <c r="A82" s="9" t="s">
        <v>203</v>
      </c>
      <c r="B82" s="21">
        <v>45824</v>
      </c>
      <c r="C82" s="15" t="s">
        <v>98</v>
      </c>
      <c r="D82" s="9" t="s">
        <v>104</v>
      </c>
      <c r="E82" s="9" t="s">
        <v>133</v>
      </c>
      <c r="F82" s="9">
        <v>23</v>
      </c>
      <c r="G82" s="10">
        <v>61000</v>
      </c>
      <c r="H82" s="10">
        <f t="shared" si="6"/>
        <v>1403000</v>
      </c>
      <c r="I82" s="9" t="s">
        <v>89</v>
      </c>
      <c r="J82" s="9" t="s">
        <v>70</v>
      </c>
      <c r="K82" t="str">
        <f t="shared" si="7"/>
        <v>June</v>
      </c>
      <c r="M82" t="b">
        <f t="shared" si="8"/>
        <v>1</v>
      </c>
      <c r="N82" s="20">
        <f t="shared" si="9"/>
        <v>61000</v>
      </c>
      <c r="O82" s="20" t="b">
        <f t="shared" si="10"/>
        <v>1</v>
      </c>
      <c r="P82" t="b">
        <f t="shared" si="11"/>
        <v>1</v>
      </c>
    </row>
    <row r="83" spans="1:16" ht="15" customHeight="1" x14ac:dyDescent="0.3">
      <c r="A83" s="9" t="s">
        <v>171</v>
      </c>
      <c r="B83" s="21">
        <v>45826</v>
      </c>
      <c r="C83" s="15" t="s">
        <v>98</v>
      </c>
      <c r="D83" s="9" t="s">
        <v>104</v>
      </c>
      <c r="E83" s="9" t="s">
        <v>105</v>
      </c>
      <c r="F83" s="9">
        <v>21</v>
      </c>
      <c r="G83" s="10">
        <v>32000</v>
      </c>
      <c r="H83" s="10">
        <f t="shared" si="6"/>
        <v>672000</v>
      </c>
      <c r="I83" s="9" t="s">
        <v>75</v>
      </c>
      <c r="J83" s="9" t="s">
        <v>70</v>
      </c>
      <c r="K83" t="str">
        <f t="shared" si="7"/>
        <v>June</v>
      </c>
      <c r="M83" t="b">
        <f t="shared" si="8"/>
        <v>1</v>
      </c>
      <c r="N83" s="20">
        <f t="shared" si="9"/>
        <v>32000</v>
      </c>
      <c r="O83" s="20" t="b">
        <f t="shared" si="10"/>
        <v>1</v>
      </c>
      <c r="P83" t="b">
        <f t="shared" si="11"/>
        <v>1</v>
      </c>
    </row>
    <row r="84" spans="1:16" ht="15" customHeight="1" x14ac:dyDescent="0.3">
      <c r="A84" s="9" t="s">
        <v>323</v>
      </c>
      <c r="B84" s="21">
        <v>45828</v>
      </c>
      <c r="C84" s="15" t="s">
        <v>84</v>
      </c>
      <c r="D84" s="9" t="s">
        <v>104</v>
      </c>
      <c r="E84" s="9" t="s">
        <v>122</v>
      </c>
      <c r="F84" s="9">
        <v>12</v>
      </c>
      <c r="G84" s="10">
        <v>69000</v>
      </c>
      <c r="H84" s="10">
        <f t="shared" si="6"/>
        <v>828000</v>
      </c>
      <c r="I84" s="9" t="s">
        <v>93</v>
      </c>
      <c r="J84" s="9" t="s">
        <v>70</v>
      </c>
      <c r="K84" t="str">
        <f t="shared" si="7"/>
        <v>June</v>
      </c>
      <c r="M84" t="b">
        <f t="shared" si="8"/>
        <v>1</v>
      </c>
      <c r="N84" s="20">
        <f t="shared" si="9"/>
        <v>69000</v>
      </c>
      <c r="O84" s="20" t="b">
        <f t="shared" si="10"/>
        <v>1</v>
      </c>
      <c r="P84" t="b">
        <f t="shared" si="11"/>
        <v>1</v>
      </c>
    </row>
    <row r="85" spans="1:16" ht="15" customHeight="1" x14ac:dyDescent="0.3">
      <c r="A85" s="9" t="s">
        <v>267</v>
      </c>
      <c r="B85" s="21">
        <v>45828</v>
      </c>
      <c r="C85" s="15" t="s">
        <v>98</v>
      </c>
      <c r="D85" s="9" t="s">
        <v>111</v>
      </c>
      <c r="E85" s="9" t="s">
        <v>173</v>
      </c>
      <c r="F85" s="9">
        <v>24</v>
      </c>
      <c r="G85" s="10">
        <v>86000</v>
      </c>
      <c r="H85" s="10">
        <f t="shared" si="6"/>
        <v>2064000</v>
      </c>
      <c r="I85" s="9" t="s">
        <v>69</v>
      </c>
      <c r="J85" s="9" t="s">
        <v>115</v>
      </c>
      <c r="K85" t="str">
        <f t="shared" si="7"/>
        <v>June</v>
      </c>
      <c r="M85" t="b">
        <f t="shared" si="8"/>
        <v>1</v>
      </c>
      <c r="N85" s="20">
        <f t="shared" si="9"/>
        <v>86000</v>
      </c>
      <c r="O85" s="20" t="b">
        <f t="shared" si="10"/>
        <v>1</v>
      </c>
      <c r="P85" t="b">
        <f t="shared" si="11"/>
        <v>1</v>
      </c>
    </row>
    <row r="86" spans="1:16" ht="15" customHeight="1" x14ac:dyDescent="0.3">
      <c r="A86" s="9" t="s">
        <v>305</v>
      </c>
      <c r="B86" s="21">
        <v>45828</v>
      </c>
      <c r="C86" s="15" t="s">
        <v>81</v>
      </c>
      <c r="D86" s="9" t="s">
        <v>104</v>
      </c>
      <c r="E86" s="9" t="s">
        <v>133</v>
      </c>
      <c r="F86" s="9">
        <v>5</v>
      </c>
      <c r="G86" s="10">
        <v>149000</v>
      </c>
      <c r="H86" s="10">
        <f t="shared" si="6"/>
        <v>745000</v>
      </c>
      <c r="I86" s="9" t="s">
        <v>93</v>
      </c>
      <c r="J86" s="9" t="s">
        <v>70</v>
      </c>
      <c r="K86" t="str">
        <f t="shared" si="7"/>
        <v>June</v>
      </c>
      <c r="M86" t="b">
        <f t="shared" si="8"/>
        <v>1</v>
      </c>
      <c r="N86" s="20">
        <f t="shared" si="9"/>
        <v>149000</v>
      </c>
      <c r="O86" s="20" t="b">
        <f t="shared" si="10"/>
        <v>1</v>
      </c>
      <c r="P86" t="b">
        <f t="shared" si="11"/>
        <v>1</v>
      </c>
    </row>
    <row r="87" spans="1:16" ht="15" customHeight="1" x14ac:dyDescent="0.3">
      <c r="A87" s="9" t="s">
        <v>276</v>
      </c>
      <c r="B87" s="21">
        <v>45829</v>
      </c>
      <c r="C87" s="15" t="s">
        <v>72</v>
      </c>
      <c r="D87" s="9" t="s">
        <v>73</v>
      </c>
      <c r="E87" s="9" t="s">
        <v>74</v>
      </c>
      <c r="F87" s="9">
        <v>5</v>
      </c>
      <c r="G87" s="10">
        <v>44000</v>
      </c>
      <c r="H87" s="10">
        <f t="shared" si="6"/>
        <v>220000</v>
      </c>
      <c r="I87" s="9" t="s">
        <v>69</v>
      </c>
      <c r="J87" s="9" t="s">
        <v>70</v>
      </c>
      <c r="K87" t="str">
        <f t="shared" si="7"/>
        <v>June</v>
      </c>
      <c r="M87" t="b">
        <f t="shared" si="8"/>
        <v>1</v>
      </c>
      <c r="N87" s="20">
        <f t="shared" si="9"/>
        <v>44000</v>
      </c>
      <c r="O87" s="20" t="b">
        <f t="shared" si="10"/>
        <v>1</v>
      </c>
      <c r="P87" t="b">
        <f t="shared" si="11"/>
        <v>1</v>
      </c>
    </row>
    <row r="88" spans="1:16" ht="15" customHeight="1" x14ac:dyDescent="0.3">
      <c r="A88" s="9" t="s">
        <v>204</v>
      </c>
      <c r="B88" s="21">
        <v>45831</v>
      </c>
      <c r="C88" s="15" t="s">
        <v>107</v>
      </c>
      <c r="D88" s="9" t="s">
        <v>111</v>
      </c>
      <c r="E88" s="9" t="s">
        <v>173</v>
      </c>
      <c r="F88" s="9">
        <v>7</v>
      </c>
      <c r="G88" s="10">
        <v>66000</v>
      </c>
      <c r="H88" s="10">
        <f t="shared" si="6"/>
        <v>462000</v>
      </c>
      <c r="I88" s="11" t="s">
        <v>335</v>
      </c>
      <c r="J88" s="9" t="s">
        <v>70</v>
      </c>
      <c r="K88" t="str">
        <f t="shared" si="7"/>
        <v>June</v>
      </c>
      <c r="M88" t="b">
        <f t="shared" si="8"/>
        <v>1</v>
      </c>
      <c r="N88" s="20">
        <f t="shared" si="9"/>
        <v>66000</v>
      </c>
      <c r="O88" s="20" t="b">
        <f t="shared" si="10"/>
        <v>1</v>
      </c>
      <c r="P88" t="b">
        <f t="shared" si="11"/>
        <v>1</v>
      </c>
    </row>
    <row r="89" spans="1:16" ht="15" customHeight="1" x14ac:dyDescent="0.3">
      <c r="A89" s="9" t="s">
        <v>229</v>
      </c>
      <c r="B89" s="21">
        <v>45832</v>
      </c>
      <c r="C89" s="15" t="s">
        <v>72</v>
      </c>
      <c r="D89" s="9" t="s">
        <v>87</v>
      </c>
      <c r="E89" s="9" t="s">
        <v>92</v>
      </c>
      <c r="F89" s="9">
        <v>25</v>
      </c>
      <c r="G89" s="10">
        <v>71000</v>
      </c>
      <c r="H89" s="10">
        <f t="shared" si="6"/>
        <v>1775000</v>
      </c>
      <c r="I89" s="9" t="s">
        <v>75</v>
      </c>
      <c r="J89" s="9" t="s">
        <v>79</v>
      </c>
      <c r="K89" t="str">
        <f t="shared" si="7"/>
        <v>June</v>
      </c>
      <c r="M89" t="b">
        <f t="shared" si="8"/>
        <v>1</v>
      </c>
      <c r="N89" s="20">
        <f t="shared" si="9"/>
        <v>71000</v>
      </c>
      <c r="O89" s="20" t="b">
        <f t="shared" si="10"/>
        <v>1</v>
      </c>
      <c r="P89" t="b">
        <f t="shared" si="11"/>
        <v>1</v>
      </c>
    </row>
    <row r="90" spans="1:16" ht="15" customHeight="1" x14ac:dyDescent="0.3">
      <c r="A90" s="9" t="s">
        <v>175</v>
      </c>
      <c r="B90" s="21">
        <v>45832</v>
      </c>
      <c r="C90" s="15" t="s">
        <v>98</v>
      </c>
      <c r="D90" s="9" t="s">
        <v>111</v>
      </c>
      <c r="E90" s="9" t="s">
        <v>153</v>
      </c>
      <c r="F90" s="9">
        <v>24</v>
      </c>
      <c r="G90" s="10">
        <v>21000</v>
      </c>
      <c r="H90" s="10">
        <f t="shared" si="6"/>
        <v>504000</v>
      </c>
      <c r="I90" s="9" t="s">
        <v>93</v>
      </c>
      <c r="J90" s="9" t="s">
        <v>70</v>
      </c>
      <c r="K90" t="str">
        <f t="shared" si="7"/>
        <v>June</v>
      </c>
      <c r="M90" t="b">
        <f t="shared" si="8"/>
        <v>1</v>
      </c>
      <c r="N90" s="20">
        <f t="shared" si="9"/>
        <v>21000</v>
      </c>
      <c r="O90" s="20" t="b">
        <f t="shared" si="10"/>
        <v>1</v>
      </c>
      <c r="P90" t="b">
        <f t="shared" si="11"/>
        <v>1</v>
      </c>
    </row>
    <row r="91" spans="1:16" ht="15" customHeight="1" x14ac:dyDescent="0.3">
      <c r="A91" s="9" t="s">
        <v>261</v>
      </c>
      <c r="B91" s="21">
        <v>45834</v>
      </c>
      <c r="C91" s="15" t="s">
        <v>91</v>
      </c>
      <c r="D91" s="9" t="s">
        <v>87</v>
      </c>
      <c r="E91" s="9" t="s">
        <v>88</v>
      </c>
      <c r="F91" s="9">
        <v>17</v>
      </c>
      <c r="G91" s="10">
        <v>72000</v>
      </c>
      <c r="H91" s="10">
        <f t="shared" si="6"/>
        <v>1224000</v>
      </c>
      <c r="I91" s="9" t="s">
        <v>69</v>
      </c>
      <c r="J91" s="9" t="s">
        <v>70</v>
      </c>
      <c r="K91" t="str">
        <f t="shared" si="7"/>
        <v>June</v>
      </c>
      <c r="M91" t="b">
        <f t="shared" si="8"/>
        <v>1</v>
      </c>
      <c r="N91" s="20">
        <f t="shared" si="9"/>
        <v>72000</v>
      </c>
      <c r="O91" s="20" t="b">
        <f t="shared" si="10"/>
        <v>1</v>
      </c>
      <c r="P91" t="b">
        <f t="shared" si="11"/>
        <v>1</v>
      </c>
    </row>
    <row r="92" spans="1:16" ht="15" customHeight="1" x14ac:dyDescent="0.3">
      <c r="A92" s="9" t="s">
        <v>245</v>
      </c>
      <c r="B92" s="21">
        <v>45838</v>
      </c>
      <c r="C92" s="15" t="s">
        <v>72</v>
      </c>
      <c r="D92" s="9" t="s">
        <v>73</v>
      </c>
      <c r="E92" s="9" t="s">
        <v>74</v>
      </c>
      <c r="F92" s="9">
        <v>18</v>
      </c>
      <c r="G92" s="10">
        <v>48000</v>
      </c>
      <c r="H92" s="10">
        <f t="shared" si="6"/>
        <v>864000</v>
      </c>
      <c r="I92" s="9" t="s">
        <v>89</v>
      </c>
      <c r="J92" s="9" t="s">
        <v>70</v>
      </c>
      <c r="K92" t="str">
        <f t="shared" si="7"/>
        <v>June</v>
      </c>
      <c r="M92" t="b">
        <f t="shared" si="8"/>
        <v>1</v>
      </c>
      <c r="N92" s="20">
        <f t="shared" si="9"/>
        <v>48000</v>
      </c>
      <c r="O92" s="20" t="b">
        <f t="shared" si="10"/>
        <v>1</v>
      </c>
      <c r="P92" t="b">
        <f t="shared" si="11"/>
        <v>1</v>
      </c>
    </row>
    <row r="93" spans="1:16" ht="15" customHeight="1" x14ac:dyDescent="0.3">
      <c r="A93" s="9" t="s">
        <v>178</v>
      </c>
      <c r="B93" s="21">
        <v>45843</v>
      </c>
      <c r="C93" s="15" t="s">
        <v>72</v>
      </c>
      <c r="D93" s="9" t="s">
        <v>87</v>
      </c>
      <c r="E93" s="9" t="s">
        <v>140</v>
      </c>
      <c r="F93" s="9">
        <v>8</v>
      </c>
      <c r="G93" s="10">
        <v>65000</v>
      </c>
      <c r="H93" s="10">
        <f t="shared" si="6"/>
        <v>520000</v>
      </c>
      <c r="I93" s="9" t="s">
        <v>69</v>
      </c>
      <c r="J93" s="9" t="s">
        <v>115</v>
      </c>
      <c r="K93" t="str">
        <f t="shared" si="7"/>
        <v>July</v>
      </c>
      <c r="M93" t="b">
        <f t="shared" si="8"/>
        <v>1</v>
      </c>
      <c r="N93" s="20">
        <f t="shared" si="9"/>
        <v>65000</v>
      </c>
      <c r="O93" s="20" t="b">
        <f t="shared" si="10"/>
        <v>1</v>
      </c>
      <c r="P93" t="b">
        <f t="shared" si="11"/>
        <v>1</v>
      </c>
    </row>
    <row r="94" spans="1:16" ht="15" customHeight="1" x14ac:dyDescent="0.3">
      <c r="A94" s="9" t="s">
        <v>206</v>
      </c>
      <c r="B94" s="21">
        <v>45843</v>
      </c>
      <c r="C94" s="15" t="s">
        <v>107</v>
      </c>
      <c r="D94" s="9" t="s">
        <v>104</v>
      </c>
      <c r="E94" s="9" t="s">
        <v>105</v>
      </c>
      <c r="F94" s="9">
        <v>15</v>
      </c>
      <c r="G94" s="10">
        <v>123000</v>
      </c>
      <c r="H94" s="10">
        <f t="shared" si="6"/>
        <v>1845000</v>
      </c>
      <c r="I94" s="9" t="s">
        <v>93</v>
      </c>
      <c r="J94" s="9" t="s">
        <v>70</v>
      </c>
      <c r="K94" t="str">
        <f t="shared" si="7"/>
        <v>July</v>
      </c>
      <c r="M94" t="b">
        <f t="shared" si="8"/>
        <v>1</v>
      </c>
      <c r="N94" s="20">
        <f t="shared" si="9"/>
        <v>123000</v>
      </c>
      <c r="O94" s="20" t="b">
        <f t="shared" si="10"/>
        <v>1</v>
      </c>
      <c r="P94" t="b">
        <f t="shared" si="11"/>
        <v>1</v>
      </c>
    </row>
    <row r="95" spans="1:16" ht="15" customHeight="1" x14ac:dyDescent="0.3">
      <c r="A95" s="9" t="s">
        <v>324</v>
      </c>
      <c r="B95" s="21">
        <v>45845</v>
      </c>
      <c r="C95" s="15" t="s">
        <v>120</v>
      </c>
      <c r="D95" s="9" t="s">
        <v>73</v>
      </c>
      <c r="E95" s="9" t="s">
        <v>109</v>
      </c>
      <c r="F95" s="9">
        <v>19</v>
      </c>
      <c r="G95" s="10">
        <v>90000</v>
      </c>
      <c r="H95" s="10">
        <f t="shared" si="6"/>
        <v>1710000</v>
      </c>
      <c r="I95" s="9" t="s">
        <v>69</v>
      </c>
      <c r="J95" s="9" t="s">
        <v>70</v>
      </c>
      <c r="K95" t="str">
        <f t="shared" si="7"/>
        <v>July</v>
      </c>
      <c r="M95" t="b">
        <f t="shared" si="8"/>
        <v>1</v>
      </c>
      <c r="N95" s="20">
        <f t="shared" si="9"/>
        <v>90000</v>
      </c>
      <c r="O95" s="20" t="b">
        <f t="shared" si="10"/>
        <v>1</v>
      </c>
      <c r="P95" t="b">
        <f t="shared" si="11"/>
        <v>1</v>
      </c>
    </row>
    <row r="96" spans="1:16" ht="15" customHeight="1" x14ac:dyDescent="0.3">
      <c r="A96" s="9" t="s">
        <v>90</v>
      </c>
      <c r="B96" s="21">
        <v>45849</v>
      </c>
      <c r="C96" s="15" t="s">
        <v>91</v>
      </c>
      <c r="D96" s="9" t="s">
        <v>87</v>
      </c>
      <c r="E96" s="9" t="s">
        <v>92</v>
      </c>
      <c r="F96" s="9">
        <v>17</v>
      </c>
      <c r="G96" s="10">
        <v>91000</v>
      </c>
      <c r="H96" s="10">
        <f t="shared" si="6"/>
        <v>1547000</v>
      </c>
      <c r="I96" s="9" t="s">
        <v>93</v>
      </c>
      <c r="J96" s="9" t="s">
        <v>79</v>
      </c>
      <c r="K96" t="str">
        <f t="shared" si="7"/>
        <v>July</v>
      </c>
      <c r="M96" t="b">
        <f t="shared" si="8"/>
        <v>1</v>
      </c>
      <c r="N96" s="20">
        <f t="shared" si="9"/>
        <v>91000</v>
      </c>
      <c r="O96" s="20" t="b">
        <f t="shared" si="10"/>
        <v>1</v>
      </c>
      <c r="P96" t="b">
        <f t="shared" si="11"/>
        <v>1</v>
      </c>
    </row>
    <row r="97" spans="1:16" ht="15" customHeight="1" x14ac:dyDescent="0.3">
      <c r="A97" s="9" t="s">
        <v>327</v>
      </c>
      <c r="B97" s="21">
        <v>45849</v>
      </c>
      <c r="C97" s="15" t="s">
        <v>77</v>
      </c>
      <c r="D97" s="9" t="s">
        <v>73</v>
      </c>
      <c r="E97" s="9" t="s">
        <v>109</v>
      </c>
      <c r="F97" s="9">
        <v>12</v>
      </c>
      <c r="G97" s="10">
        <v>32000</v>
      </c>
      <c r="H97" s="10">
        <f t="shared" si="6"/>
        <v>384000</v>
      </c>
      <c r="I97" s="9" t="s">
        <v>75</v>
      </c>
      <c r="J97" s="9" t="s">
        <v>79</v>
      </c>
      <c r="K97" t="str">
        <f t="shared" si="7"/>
        <v>July</v>
      </c>
      <c r="M97" t="b">
        <f t="shared" si="8"/>
        <v>1</v>
      </c>
      <c r="N97" s="20">
        <f t="shared" si="9"/>
        <v>32000</v>
      </c>
      <c r="O97" s="20" t="b">
        <f t="shared" si="10"/>
        <v>1</v>
      </c>
      <c r="P97" t="b">
        <f t="shared" si="11"/>
        <v>1</v>
      </c>
    </row>
    <row r="98" spans="1:16" ht="15" customHeight="1" x14ac:dyDescent="0.3">
      <c r="A98" s="9" t="s">
        <v>296</v>
      </c>
      <c r="B98" s="21">
        <v>45852</v>
      </c>
      <c r="C98" s="15" t="s">
        <v>98</v>
      </c>
      <c r="D98" s="9" t="s">
        <v>87</v>
      </c>
      <c r="E98" s="9" t="s">
        <v>140</v>
      </c>
      <c r="F98" s="9">
        <v>19</v>
      </c>
      <c r="G98" s="10">
        <v>73000</v>
      </c>
      <c r="H98" s="10">
        <f t="shared" si="6"/>
        <v>1387000</v>
      </c>
      <c r="I98" s="9" t="s">
        <v>75</v>
      </c>
      <c r="J98" s="9" t="s">
        <v>70</v>
      </c>
      <c r="K98" t="str">
        <f t="shared" si="7"/>
        <v>July</v>
      </c>
      <c r="M98" t="b">
        <f t="shared" si="8"/>
        <v>1</v>
      </c>
      <c r="N98" s="20">
        <f t="shared" si="9"/>
        <v>73000</v>
      </c>
      <c r="O98" s="20" t="b">
        <f t="shared" si="10"/>
        <v>1</v>
      </c>
      <c r="P98" t="b">
        <f t="shared" si="11"/>
        <v>1</v>
      </c>
    </row>
    <row r="99" spans="1:16" ht="15" customHeight="1" x14ac:dyDescent="0.3">
      <c r="A99" s="9" t="s">
        <v>301</v>
      </c>
      <c r="B99" s="21">
        <v>45852</v>
      </c>
      <c r="C99" s="15" t="s">
        <v>72</v>
      </c>
      <c r="D99" s="9" t="s">
        <v>73</v>
      </c>
      <c r="E99" s="9" t="s">
        <v>102</v>
      </c>
      <c r="F99" s="9">
        <v>3</v>
      </c>
      <c r="G99" s="10">
        <v>89000</v>
      </c>
      <c r="H99" s="10">
        <f t="shared" si="6"/>
        <v>267000</v>
      </c>
      <c r="I99" s="9" t="s">
        <v>75</v>
      </c>
      <c r="J99" s="9" t="s">
        <v>70</v>
      </c>
      <c r="K99" t="str">
        <f t="shared" si="7"/>
        <v>July</v>
      </c>
      <c r="M99" t="b">
        <f t="shared" si="8"/>
        <v>1</v>
      </c>
      <c r="N99" s="20">
        <f t="shared" si="9"/>
        <v>89000</v>
      </c>
      <c r="O99" s="20" t="b">
        <f t="shared" si="10"/>
        <v>1</v>
      </c>
      <c r="P99" t="b">
        <f t="shared" si="11"/>
        <v>1</v>
      </c>
    </row>
    <row r="100" spans="1:16" ht="15" customHeight="1" x14ac:dyDescent="0.3">
      <c r="A100" s="9" t="s">
        <v>217</v>
      </c>
      <c r="B100" s="21">
        <v>45853</v>
      </c>
      <c r="C100" s="15" t="s">
        <v>91</v>
      </c>
      <c r="D100" s="9" t="s">
        <v>87</v>
      </c>
      <c r="E100" s="9" t="s">
        <v>177</v>
      </c>
      <c r="F100" s="9">
        <v>2</v>
      </c>
      <c r="G100" s="10">
        <v>173000</v>
      </c>
      <c r="H100" s="10">
        <f t="shared" si="6"/>
        <v>346000</v>
      </c>
      <c r="I100" s="9" t="s">
        <v>69</v>
      </c>
      <c r="J100" s="9" t="s">
        <v>79</v>
      </c>
      <c r="K100" t="str">
        <f t="shared" si="7"/>
        <v>July</v>
      </c>
      <c r="M100" t="b">
        <f t="shared" si="8"/>
        <v>1</v>
      </c>
      <c r="N100" s="20">
        <f t="shared" si="9"/>
        <v>173000</v>
      </c>
      <c r="O100" s="20" t="b">
        <f t="shared" si="10"/>
        <v>1</v>
      </c>
      <c r="P100" t="b">
        <f t="shared" si="11"/>
        <v>1</v>
      </c>
    </row>
    <row r="101" spans="1:16" ht="15" customHeight="1" x14ac:dyDescent="0.3">
      <c r="A101" s="9" t="s">
        <v>236</v>
      </c>
      <c r="B101" s="21">
        <v>45857</v>
      </c>
      <c r="C101" s="15" t="s">
        <v>136</v>
      </c>
      <c r="D101" s="9" t="s">
        <v>73</v>
      </c>
      <c r="E101" s="9" t="s">
        <v>78</v>
      </c>
      <c r="F101" s="9">
        <v>15</v>
      </c>
      <c r="G101" s="10">
        <v>95000</v>
      </c>
      <c r="H101" s="10">
        <f t="shared" si="6"/>
        <v>1425000</v>
      </c>
      <c r="I101" s="9" t="s">
        <v>69</v>
      </c>
      <c r="J101" s="9" t="s">
        <v>70</v>
      </c>
      <c r="K101" t="str">
        <f t="shared" si="7"/>
        <v>July</v>
      </c>
      <c r="M101" t="b">
        <f t="shared" si="8"/>
        <v>1</v>
      </c>
      <c r="N101" s="20">
        <f t="shared" si="9"/>
        <v>95000</v>
      </c>
      <c r="O101" s="20" t="b">
        <f t="shared" si="10"/>
        <v>1</v>
      </c>
      <c r="P101" t="b">
        <f t="shared" si="11"/>
        <v>1</v>
      </c>
    </row>
    <row r="102" spans="1:16" ht="15" customHeight="1" x14ac:dyDescent="0.3">
      <c r="A102" s="9" t="s">
        <v>241</v>
      </c>
      <c r="B102" s="21">
        <v>45857</v>
      </c>
      <c r="C102" s="15" t="s">
        <v>81</v>
      </c>
      <c r="D102" s="9" t="s">
        <v>67</v>
      </c>
      <c r="E102" s="9" t="s">
        <v>68</v>
      </c>
      <c r="F102" s="9">
        <v>13</v>
      </c>
      <c r="G102" s="10">
        <v>130000</v>
      </c>
      <c r="H102" s="10">
        <f t="shared" si="6"/>
        <v>1690000</v>
      </c>
      <c r="I102" s="9" t="s">
        <v>69</v>
      </c>
      <c r="J102" s="9" t="s">
        <v>70</v>
      </c>
      <c r="K102" t="str">
        <f t="shared" si="7"/>
        <v>July</v>
      </c>
      <c r="M102" t="b">
        <f t="shared" si="8"/>
        <v>1</v>
      </c>
      <c r="N102" s="20">
        <f t="shared" si="9"/>
        <v>130000</v>
      </c>
      <c r="O102" s="20" t="b">
        <f t="shared" si="10"/>
        <v>1</v>
      </c>
      <c r="P102" t="b">
        <f t="shared" si="11"/>
        <v>1</v>
      </c>
    </row>
    <row r="103" spans="1:16" ht="15" customHeight="1" x14ac:dyDescent="0.3">
      <c r="A103" s="9" t="s">
        <v>239</v>
      </c>
      <c r="B103" s="21">
        <v>45859</v>
      </c>
      <c r="C103" s="15" t="s">
        <v>101</v>
      </c>
      <c r="D103" s="9" t="s">
        <v>111</v>
      </c>
      <c r="E103" s="9" t="s">
        <v>148</v>
      </c>
      <c r="F103" s="9">
        <v>11</v>
      </c>
      <c r="G103" s="10">
        <v>83000</v>
      </c>
      <c r="H103" s="10">
        <f t="shared" si="6"/>
        <v>913000</v>
      </c>
      <c r="I103" s="9" t="s">
        <v>93</v>
      </c>
      <c r="J103" s="9" t="s">
        <v>70</v>
      </c>
      <c r="K103" t="str">
        <f t="shared" si="7"/>
        <v>July</v>
      </c>
      <c r="M103" t="b">
        <f t="shared" si="8"/>
        <v>1</v>
      </c>
      <c r="N103" s="20">
        <f t="shared" si="9"/>
        <v>83000</v>
      </c>
      <c r="O103" s="20" t="b">
        <f t="shared" si="10"/>
        <v>1</v>
      </c>
      <c r="P103" t="b">
        <f t="shared" si="11"/>
        <v>1</v>
      </c>
    </row>
    <row r="104" spans="1:16" ht="15" customHeight="1" x14ac:dyDescent="0.3">
      <c r="A104" s="9" t="s">
        <v>270</v>
      </c>
      <c r="B104" s="21">
        <v>45860</v>
      </c>
      <c r="C104" s="15" t="s">
        <v>136</v>
      </c>
      <c r="D104" s="9" t="s">
        <v>87</v>
      </c>
      <c r="E104" s="9" t="s">
        <v>88</v>
      </c>
      <c r="F104" s="9">
        <v>2</v>
      </c>
      <c r="G104" s="10">
        <v>65000</v>
      </c>
      <c r="H104" s="10">
        <f t="shared" si="6"/>
        <v>130000</v>
      </c>
      <c r="I104" s="9" t="s">
        <v>75</v>
      </c>
      <c r="J104" s="9" t="s">
        <v>79</v>
      </c>
      <c r="K104" t="str">
        <f t="shared" si="7"/>
        <v>July</v>
      </c>
      <c r="M104" t="b">
        <f t="shared" si="8"/>
        <v>1</v>
      </c>
      <c r="N104" s="20">
        <f t="shared" si="9"/>
        <v>65000</v>
      </c>
      <c r="O104" s="20" t="b">
        <f t="shared" si="10"/>
        <v>1</v>
      </c>
      <c r="P104" t="b">
        <f t="shared" si="11"/>
        <v>1</v>
      </c>
    </row>
    <row r="105" spans="1:16" ht="15" customHeight="1" x14ac:dyDescent="0.3">
      <c r="A105" s="9" t="s">
        <v>289</v>
      </c>
      <c r="B105" s="21">
        <v>45865</v>
      </c>
      <c r="C105" s="15" t="s">
        <v>91</v>
      </c>
      <c r="D105" s="9" t="s">
        <v>104</v>
      </c>
      <c r="E105" s="9" t="s">
        <v>145</v>
      </c>
      <c r="F105" s="9">
        <v>3</v>
      </c>
      <c r="G105" s="10">
        <v>91000</v>
      </c>
      <c r="H105" s="10">
        <f t="shared" si="6"/>
        <v>273000</v>
      </c>
      <c r="I105" s="9" t="s">
        <v>75</v>
      </c>
      <c r="J105" s="9" t="s">
        <v>115</v>
      </c>
      <c r="K105" t="str">
        <f t="shared" si="7"/>
        <v>July</v>
      </c>
      <c r="M105" t="b">
        <f t="shared" si="8"/>
        <v>1</v>
      </c>
      <c r="N105" s="20">
        <f t="shared" si="9"/>
        <v>91000</v>
      </c>
      <c r="O105" s="20" t="b">
        <f t="shared" si="10"/>
        <v>1</v>
      </c>
      <c r="P105" t="b">
        <f t="shared" si="11"/>
        <v>1</v>
      </c>
    </row>
    <row r="106" spans="1:16" ht="15" customHeight="1" x14ac:dyDescent="0.3">
      <c r="A106" s="9" t="s">
        <v>214</v>
      </c>
      <c r="B106" s="21">
        <v>45869</v>
      </c>
      <c r="C106" s="15" t="s">
        <v>77</v>
      </c>
      <c r="D106" s="9" t="s">
        <v>73</v>
      </c>
      <c r="E106" s="9" t="s">
        <v>74</v>
      </c>
      <c r="F106" s="9">
        <v>24</v>
      </c>
      <c r="G106" s="10">
        <v>37000</v>
      </c>
      <c r="H106" s="10">
        <f t="shared" si="6"/>
        <v>888000</v>
      </c>
      <c r="I106" s="9" t="s">
        <v>82</v>
      </c>
      <c r="J106" s="9" t="s">
        <v>70</v>
      </c>
      <c r="K106" t="str">
        <f t="shared" si="7"/>
        <v>July</v>
      </c>
      <c r="M106" t="b">
        <f t="shared" si="8"/>
        <v>1</v>
      </c>
      <c r="N106" s="20">
        <f t="shared" si="9"/>
        <v>37000</v>
      </c>
      <c r="O106" s="20" t="b">
        <f t="shared" si="10"/>
        <v>1</v>
      </c>
      <c r="P106" t="b">
        <f t="shared" si="11"/>
        <v>1</v>
      </c>
    </row>
    <row r="107" spans="1:16" ht="15" customHeight="1" x14ac:dyDescent="0.3">
      <c r="A107" s="9" t="s">
        <v>326</v>
      </c>
      <c r="B107" s="21">
        <v>45870</v>
      </c>
      <c r="C107" s="15" t="s">
        <v>98</v>
      </c>
      <c r="D107" s="9" t="s">
        <v>87</v>
      </c>
      <c r="E107" s="9" t="s">
        <v>92</v>
      </c>
      <c r="F107" s="9">
        <v>18</v>
      </c>
      <c r="G107" s="10">
        <v>180000</v>
      </c>
      <c r="H107" s="10">
        <f t="shared" si="6"/>
        <v>3240000</v>
      </c>
      <c r="I107" s="9" t="s">
        <v>82</v>
      </c>
      <c r="J107" s="9" t="s">
        <v>70</v>
      </c>
      <c r="K107" t="str">
        <f t="shared" si="7"/>
        <v>August</v>
      </c>
      <c r="M107" t="b">
        <f t="shared" si="8"/>
        <v>1</v>
      </c>
      <c r="N107" s="20">
        <f t="shared" si="9"/>
        <v>180000</v>
      </c>
      <c r="O107" s="20" t="b">
        <f t="shared" si="10"/>
        <v>1</v>
      </c>
      <c r="P107" t="b">
        <f t="shared" si="11"/>
        <v>1</v>
      </c>
    </row>
    <row r="108" spans="1:16" ht="15" customHeight="1" x14ac:dyDescent="0.3">
      <c r="A108" s="9" t="s">
        <v>130</v>
      </c>
      <c r="B108" s="21">
        <v>45871</v>
      </c>
      <c r="C108" s="15" t="s">
        <v>98</v>
      </c>
      <c r="D108" s="9" t="s">
        <v>67</v>
      </c>
      <c r="E108" s="9" t="s">
        <v>131</v>
      </c>
      <c r="F108" s="9">
        <v>12</v>
      </c>
      <c r="G108" s="10">
        <v>52000</v>
      </c>
      <c r="H108" s="10">
        <f t="shared" si="6"/>
        <v>624000</v>
      </c>
      <c r="I108" s="9" t="s">
        <v>93</v>
      </c>
      <c r="J108" s="9" t="s">
        <v>70</v>
      </c>
      <c r="K108" t="str">
        <f t="shared" si="7"/>
        <v>August</v>
      </c>
      <c r="M108" t="b">
        <f t="shared" si="8"/>
        <v>1</v>
      </c>
      <c r="N108" s="20">
        <f t="shared" si="9"/>
        <v>52000</v>
      </c>
      <c r="O108" s="20" t="b">
        <f t="shared" si="10"/>
        <v>1</v>
      </c>
      <c r="P108" t="b">
        <f t="shared" si="11"/>
        <v>1</v>
      </c>
    </row>
    <row r="109" spans="1:16" ht="15" customHeight="1" x14ac:dyDescent="0.3">
      <c r="A109" s="9" t="s">
        <v>288</v>
      </c>
      <c r="B109" s="21">
        <v>45874</v>
      </c>
      <c r="C109" s="15" t="s">
        <v>120</v>
      </c>
      <c r="D109" s="9" t="s">
        <v>67</v>
      </c>
      <c r="E109" s="9" t="s">
        <v>85</v>
      </c>
      <c r="F109" s="9">
        <v>7</v>
      </c>
      <c r="G109" s="10">
        <v>94000</v>
      </c>
      <c r="H109" s="10">
        <f t="shared" si="6"/>
        <v>658000</v>
      </c>
      <c r="I109" s="9" t="s">
        <v>82</v>
      </c>
      <c r="J109" s="9" t="s">
        <v>79</v>
      </c>
      <c r="K109" t="str">
        <f t="shared" si="7"/>
        <v>August</v>
      </c>
      <c r="M109" t="b">
        <f t="shared" si="8"/>
        <v>1</v>
      </c>
      <c r="N109" s="20">
        <f t="shared" si="9"/>
        <v>94000</v>
      </c>
      <c r="O109" s="20" t="b">
        <f t="shared" si="10"/>
        <v>1</v>
      </c>
      <c r="P109" t="b">
        <f t="shared" si="11"/>
        <v>1</v>
      </c>
    </row>
    <row r="110" spans="1:16" ht="15" customHeight="1" x14ac:dyDescent="0.3">
      <c r="A110" s="9" t="s">
        <v>110</v>
      </c>
      <c r="B110" s="21">
        <v>45874</v>
      </c>
      <c r="C110" s="15" t="s">
        <v>98</v>
      </c>
      <c r="D110" s="9" t="s">
        <v>111</v>
      </c>
      <c r="E110" s="9" t="s">
        <v>112</v>
      </c>
      <c r="F110" s="9">
        <v>8</v>
      </c>
      <c r="G110" s="10">
        <v>118000</v>
      </c>
      <c r="H110" s="10">
        <f t="shared" si="6"/>
        <v>944000</v>
      </c>
      <c r="I110" s="9" t="s">
        <v>69</v>
      </c>
      <c r="J110" s="9" t="s">
        <v>79</v>
      </c>
      <c r="K110" t="str">
        <f t="shared" si="7"/>
        <v>August</v>
      </c>
      <c r="M110" t="b">
        <f t="shared" si="8"/>
        <v>1</v>
      </c>
      <c r="N110" s="20">
        <f t="shared" si="9"/>
        <v>118000</v>
      </c>
      <c r="O110" s="20" t="b">
        <f t="shared" si="10"/>
        <v>1</v>
      </c>
      <c r="P110" t="b">
        <f t="shared" si="11"/>
        <v>1</v>
      </c>
    </row>
    <row r="111" spans="1:16" ht="15" customHeight="1" x14ac:dyDescent="0.3">
      <c r="A111" s="9" t="s">
        <v>188</v>
      </c>
      <c r="B111" s="21">
        <v>45876</v>
      </c>
      <c r="C111" s="15" t="s">
        <v>98</v>
      </c>
      <c r="D111" s="9" t="s">
        <v>73</v>
      </c>
      <c r="E111" s="9" t="s">
        <v>102</v>
      </c>
      <c r="F111" s="9">
        <v>15</v>
      </c>
      <c r="G111" s="10">
        <v>75000</v>
      </c>
      <c r="H111" s="10">
        <f t="shared" si="6"/>
        <v>1125000</v>
      </c>
      <c r="I111" s="9" t="s">
        <v>69</v>
      </c>
      <c r="J111" s="9" t="s">
        <v>70</v>
      </c>
      <c r="K111" t="str">
        <f t="shared" si="7"/>
        <v>August</v>
      </c>
      <c r="M111" t="b">
        <f t="shared" si="8"/>
        <v>1</v>
      </c>
      <c r="N111" s="20">
        <f t="shared" si="9"/>
        <v>75000</v>
      </c>
      <c r="O111" s="20" t="b">
        <f t="shared" si="10"/>
        <v>1</v>
      </c>
      <c r="P111" t="b">
        <f t="shared" si="11"/>
        <v>1</v>
      </c>
    </row>
    <row r="112" spans="1:16" ht="15" customHeight="1" x14ac:dyDescent="0.3">
      <c r="A112" s="9" t="s">
        <v>277</v>
      </c>
      <c r="B112" s="21">
        <v>45877</v>
      </c>
      <c r="C112" s="15" t="s">
        <v>136</v>
      </c>
      <c r="D112" s="9" t="s">
        <v>67</v>
      </c>
      <c r="E112" s="9" t="s">
        <v>131</v>
      </c>
      <c r="F112" s="9">
        <v>21</v>
      </c>
      <c r="G112" s="10">
        <v>122000</v>
      </c>
      <c r="H112" s="10">
        <f t="shared" si="6"/>
        <v>2562000</v>
      </c>
      <c r="I112" s="9" t="s">
        <v>89</v>
      </c>
      <c r="J112" s="9" t="s">
        <v>115</v>
      </c>
      <c r="K112" t="str">
        <f t="shared" si="7"/>
        <v>August</v>
      </c>
      <c r="M112" t="b">
        <f t="shared" si="8"/>
        <v>1</v>
      </c>
      <c r="N112" s="20">
        <f t="shared" si="9"/>
        <v>122000</v>
      </c>
      <c r="O112" s="20" t="b">
        <f t="shared" si="10"/>
        <v>1</v>
      </c>
      <c r="P112" t="b">
        <f t="shared" si="11"/>
        <v>1</v>
      </c>
    </row>
    <row r="113" spans="1:16" ht="15" customHeight="1" x14ac:dyDescent="0.3">
      <c r="A113" s="9" t="s">
        <v>308</v>
      </c>
      <c r="B113" s="21">
        <v>45877</v>
      </c>
      <c r="C113" s="15" t="s">
        <v>98</v>
      </c>
      <c r="D113" s="9" t="s">
        <v>73</v>
      </c>
      <c r="E113" s="9" t="s">
        <v>78</v>
      </c>
      <c r="F113" s="9">
        <v>2</v>
      </c>
      <c r="G113" s="10">
        <v>47000</v>
      </c>
      <c r="H113" s="10">
        <f t="shared" si="6"/>
        <v>94000</v>
      </c>
      <c r="I113" s="9" t="s">
        <v>75</v>
      </c>
      <c r="J113" s="9" t="s">
        <v>70</v>
      </c>
      <c r="K113" t="str">
        <f t="shared" si="7"/>
        <v>August</v>
      </c>
      <c r="M113" t="b">
        <f t="shared" si="8"/>
        <v>1</v>
      </c>
      <c r="N113" s="20">
        <f t="shared" si="9"/>
        <v>47000</v>
      </c>
      <c r="O113" s="20" t="b">
        <f t="shared" si="10"/>
        <v>1</v>
      </c>
      <c r="P113" t="b">
        <f t="shared" si="11"/>
        <v>1</v>
      </c>
    </row>
    <row r="114" spans="1:16" ht="15" customHeight="1" x14ac:dyDescent="0.3">
      <c r="A114" s="9" t="s">
        <v>235</v>
      </c>
      <c r="B114" s="21">
        <v>45878</v>
      </c>
      <c r="C114" s="15" t="s">
        <v>84</v>
      </c>
      <c r="D114" s="9" t="s">
        <v>111</v>
      </c>
      <c r="E114" s="9" t="s">
        <v>148</v>
      </c>
      <c r="F114" s="9">
        <v>16</v>
      </c>
      <c r="G114" s="10">
        <v>20000</v>
      </c>
      <c r="H114" s="10">
        <f t="shared" si="6"/>
        <v>320000</v>
      </c>
      <c r="I114" s="9" t="s">
        <v>93</v>
      </c>
      <c r="J114" s="9" t="s">
        <v>70</v>
      </c>
      <c r="K114" t="str">
        <f t="shared" si="7"/>
        <v>August</v>
      </c>
      <c r="M114" t="b">
        <f t="shared" si="8"/>
        <v>1</v>
      </c>
      <c r="N114" s="20">
        <f t="shared" si="9"/>
        <v>20000</v>
      </c>
      <c r="O114" s="20" t="b">
        <f t="shared" si="10"/>
        <v>1</v>
      </c>
      <c r="P114" t="b">
        <f t="shared" si="11"/>
        <v>1</v>
      </c>
    </row>
    <row r="115" spans="1:16" ht="15" customHeight="1" x14ac:dyDescent="0.3">
      <c r="A115" s="9" t="s">
        <v>286</v>
      </c>
      <c r="B115" s="21">
        <v>45878</v>
      </c>
      <c r="C115" s="15" t="s">
        <v>84</v>
      </c>
      <c r="D115" s="9" t="s">
        <v>67</v>
      </c>
      <c r="E115" s="9" t="s">
        <v>68</v>
      </c>
      <c r="F115" s="9">
        <v>21</v>
      </c>
      <c r="G115" s="10">
        <v>231000</v>
      </c>
      <c r="H115" s="10">
        <f t="shared" si="6"/>
        <v>4851000</v>
      </c>
      <c r="I115" s="9" t="s">
        <v>82</v>
      </c>
      <c r="J115" s="9" t="s">
        <v>70</v>
      </c>
      <c r="K115" t="str">
        <f t="shared" si="7"/>
        <v>August</v>
      </c>
      <c r="M115" t="b">
        <f t="shared" si="8"/>
        <v>1</v>
      </c>
      <c r="N115" s="20">
        <f t="shared" si="9"/>
        <v>231000</v>
      </c>
      <c r="O115" s="20" t="b">
        <f t="shared" si="10"/>
        <v>1</v>
      </c>
      <c r="P115" t="b">
        <f t="shared" si="11"/>
        <v>1</v>
      </c>
    </row>
    <row r="116" spans="1:16" ht="15" customHeight="1" x14ac:dyDescent="0.3">
      <c r="A116" s="9" t="s">
        <v>161</v>
      </c>
      <c r="B116" s="21">
        <v>45880</v>
      </c>
      <c r="C116" s="15" t="s">
        <v>136</v>
      </c>
      <c r="D116" s="9" t="s">
        <v>111</v>
      </c>
      <c r="E116" s="9" t="s">
        <v>112</v>
      </c>
      <c r="F116" s="9">
        <v>20</v>
      </c>
      <c r="G116" s="10">
        <v>64000</v>
      </c>
      <c r="H116" s="10">
        <f t="shared" si="6"/>
        <v>1280000</v>
      </c>
      <c r="I116" s="9" t="s">
        <v>75</v>
      </c>
      <c r="J116" s="9" t="s">
        <v>70</v>
      </c>
      <c r="K116" t="str">
        <f t="shared" si="7"/>
        <v>August</v>
      </c>
      <c r="M116" t="b">
        <f t="shared" si="8"/>
        <v>1</v>
      </c>
      <c r="N116" s="20">
        <f t="shared" si="9"/>
        <v>64000</v>
      </c>
      <c r="O116" s="20" t="b">
        <f t="shared" si="10"/>
        <v>1</v>
      </c>
      <c r="P116" t="b">
        <f t="shared" si="11"/>
        <v>1</v>
      </c>
    </row>
    <row r="117" spans="1:16" ht="15" customHeight="1" x14ac:dyDescent="0.3">
      <c r="A117" s="9" t="s">
        <v>211</v>
      </c>
      <c r="B117" s="21">
        <v>45881</v>
      </c>
      <c r="C117" s="15" t="s">
        <v>120</v>
      </c>
      <c r="D117" s="9" t="s">
        <v>104</v>
      </c>
      <c r="E117" s="9" t="s">
        <v>122</v>
      </c>
      <c r="F117" s="9">
        <v>12</v>
      </c>
      <c r="G117" s="10">
        <v>109000</v>
      </c>
      <c r="H117" s="10">
        <f t="shared" si="6"/>
        <v>1308000</v>
      </c>
      <c r="I117" s="9" t="s">
        <v>75</v>
      </c>
      <c r="J117" s="9" t="s">
        <v>79</v>
      </c>
      <c r="K117" t="str">
        <f t="shared" si="7"/>
        <v>August</v>
      </c>
      <c r="M117" t="b">
        <f t="shared" si="8"/>
        <v>1</v>
      </c>
      <c r="N117" s="20">
        <f t="shared" si="9"/>
        <v>109000</v>
      </c>
      <c r="O117" s="20" t="b">
        <f t="shared" si="10"/>
        <v>1</v>
      </c>
      <c r="P117" t="b">
        <f t="shared" si="11"/>
        <v>1</v>
      </c>
    </row>
    <row r="118" spans="1:16" ht="15" customHeight="1" x14ac:dyDescent="0.3">
      <c r="A118" s="9" t="s">
        <v>222</v>
      </c>
      <c r="B118" s="21">
        <v>45882</v>
      </c>
      <c r="C118" s="15" t="s">
        <v>120</v>
      </c>
      <c r="D118" s="9" t="s">
        <v>87</v>
      </c>
      <c r="E118" s="9" t="s">
        <v>140</v>
      </c>
      <c r="F118" s="9">
        <v>8</v>
      </c>
      <c r="G118" s="10">
        <v>138000</v>
      </c>
      <c r="H118" s="10">
        <f t="shared" si="6"/>
        <v>1104000</v>
      </c>
      <c r="I118" s="9" t="s">
        <v>69</v>
      </c>
      <c r="J118" s="9" t="s">
        <v>79</v>
      </c>
      <c r="K118" t="str">
        <f t="shared" si="7"/>
        <v>August</v>
      </c>
      <c r="M118" t="b">
        <f t="shared" si="8"/>
        <v>1</v>
      </c>
      <c r="N118" s="20">
        <f t="shared" si="9"/>
        <v>138000</v>
      </c>
      <c r="O118" s="20" t="b">
        <f t="shared" si="10"/>
        <v>1</v>
      </c>
      <c r="P118" t="b">
        <f t="shared" si="11"/>
        <v>1</v>
      </c>
    </row>
    <row r="119" spans="1:16" ht="15" customHeight="1" x14ac:dyDescent="0.3">
      <c r="A119" s="9" t="s">
        <v>325</v>
      </c>
      <c r="B119" s="21">
        <v>45883</v>
      </c>
      <c r="C119" s="15" t="s">
        <v>84</v>
      </c>
      <c r="D119" s="9" t="s">
        <v>104</v>
      </c>
      <c r="E119" s="9" t="s">
        <v>133</v>
      </c>
      <c r="F119" s="9">
        <v>1</v>
      </c>
      <c r="G119" s="10">
        <v>39000</v>
      </c>
      <c r="H119" s="10">
        <f t="shared" si="6"/>
        <v>39000</v>
      </c>
      <c r="I119" s="9" t="s">
        <v>89</v>
      </c>
      <c r="J119" s="9" t="s">
        <v>79</v>
      </c>
      <c r="K119" t="str">
        <f t="shared" si="7"/>
        <v>August</v>
      </c>
      <c r="M119" t="b">
        <f t="shared" si="8"/>
        <v>1</v>
      </c>
      <c r="N119" s="20">
        <f t="shared" si="9"/>
        <v>39000</v>
      </c>
      <c r="O119" s="20" t="b">
        <f t="shared" si="10"/>
        <v>1</v>
      </c>
      <c r="P119" t="b">
        <f t="shared" si="11"/>
        <v>1</v>
      </c>
    </row>
    <row r="120" spans="1:16" ht="15" customHeight="1" x14ac:dyDescent="0.3">
      <c r="A120" s="9" t="s">
        <v>165</v>
      </c>
      <c r="B120" s="21">
        <v>45885</v>
      </c>
      <c r="C120" s="15" t="s">
        <v>84</v>
      </c>
      <c r="D120" s="9" t="s">
        <v>111</v>
      </c>
      <c r="E120" s="9" t="s">
        <v>153</v>
      </c>
      <c r="F120" s="9">
        <v>23</v>
      </c>
      <c r="G120" s="10">
        <v>53000</v>
      </c>
      <c r="H120" s="10">
        <f t="shared" si="6"/>
        <v>1219000</v>
      </c>
      <c r="I120" s="9" t="s">
        <v>82</v>
      </c>
      <c r="J120" s="9" t="s">
        <v>79</v>
      </c>
      <c r="K120" t="str">
        <f t="shared" si="7"/>
        <v>August</v>
      </c>
      <c r="M120" t="b">
        <f t="shared" si="8"/>
        <v>1</v>
      </c>
      <c r="N120" s="20">
        <f t="shared" si="9"/>
        <v>53000</v>
      </c>
      <c r="O120" s="20" t="b">
        <f t="shared" si="10"/>
        <v>1</v>
      </c>
      <c r="P120" t="b">
        <f t="shared" si="11"/>
        <v>1</v>
      </c>
    </row>
    <row r="121" spans="1:16" ht="15" customHeight="1" x14ac:dyDescent="0.3">
      <c r="A121" s="9" t="s">
        <v>219</v>
      </c>
      <c r="B121" s="21">
        <v>45887</v>
      </c>
      <c r="C121" s="16" t="s">
        <v>335</v>
      </c>
      <c r="D121" s="9" t="s">
        <v>104</v>
      </c>
      <c r="E121" s="9" t="s">
        <v>122</v>
      </c>
      <c r="F121" s="9">
        <v>10</v>
      </c>
      <c r="G121" s="10">
        <v>116000</v>
      </c>
      <c r="H121" s="10">
        <f t="shared" si="6"/>
        <v>1160000</v>
      </c>
      <c r="I121" s="9" t="s">
        <v>93</v>
      </c>
      <c r="J121" s="9" t="s">
        <v>115</v>
      </c>
      <c r="K121" t="str">
        <f t="shared" si="7"/>
        <v>August</v>
      </c>
      <c r="M121" t="b">
        <f t="shared" si="8"/>
        <v>1</v>
      </c>
      <c r="N121" s="20">
        <f t="shared" si="9"/>
        <v>116000</v>
      </c>
      <c r="O121" s="20" t="b">
        <f t="shared" si="10"/>
        <v>1</v>
      </c>
      <c r="P121" t="b">
        <f t="shared" si="11"/>
        <v>1</v>
      </c>
    </row>
    <row r="122" spans="1:16" ht="15" customHeight="1" x14ac:dyDescent="0.3">
      <c r="A122" s="9" t="s">
        <v>186</v>
      </c>
      <c r="B122" s="21">
        <v>45888</v>
      </c>
      <c r="C122" s="15" t="s">
        <v>107</v>
      </c>
      <c r="D122" s="9" t="s">
        <v>111</v>
      </c>
      <c r="E122" s="9" t="s">
        <v>148</v>
      </c>
      <c r="F122" s="9">
        <v>22</v>
      </c>
      <c r="G122" s="10">
        <v>31000</v>
      </c>
      <c r="H122" s="10">
        <f t="shared" si="6"/>
        <v>682000</v>
      </c>
      <c r="I122" s="9" t="s">
        <v>75</v>
      </c>
      <c r="J122" s="9" t="s">
        <v>79</v>
      </c>
      <c r="K122" t="str">
        <f t="shared" si="7"/>
        <v>August</v>
      </c>
      <c r="M122" t="b">
        <f t="shared" si="8"/>
        <v>1</v>
      </c>
      <c r="N122" s="20">
        <f t="shared" si="9"/>
        <v>31000</v>
      </c>
      <c r="O122" s="20" t="b">
        <f t="shared" si="10"/>
        <v>1</v>
      </c>
      <c r="P122" t="b">
        <f t="shared" si="11"/>
        <v>1</v>
      </c>
    </row>
    <row r="123" spans="1:16" ht="15" customHeight="1" x14ac:dyDescent="0.3">
      <c r="A123" s="9" t="s">
        <v>168</v>
      </c>
      <c r="B123" s="21">
        <v>45890</v>
      </c>
      <c r="C123" s="15" t="s">
        <v>120</v>
      </c>
      <c r="D123" s="9" t="s">
        <v>111</v>
      </c>
      <c r="E123" s="9" t="s">
        <v>148</v>
      </c>
      <c r="F123" s="9">
        <v>25</v>
      </c>
      <c r="G123" s="10">
        <v>28000</v>
      </c>
      <c r="H123" s="10">
        <f t="shared" si="6"/>
        <v>700000</v>
      </c>
      <c r="I123" s="9" t="s">
        <v>93</v>
      </c>
      <c r="J123" s="9" t="s">
        <v>79</v>
      </c>
      <c r="K123" t="str">
        <f t="shared" si="7"/>
        <v>August</v>
      </c>
      <c r="M123" t="b">
        <f t="shared" si="8"/>
        <v>1</v>
      </c>
      <c r="N123" s="20">
        <f t="shared" si="9"/>
        <v>28000</v>
      </c>
      <c r="O123" s="20" t="b">
        <f t="shared" si="10"/>
        <v>1</v>
      </c>
      <c r="P123" t="b">
        <f t="shared" si="11"/>
        <v>1</v>
      </c>
    </row>
    <row r="124" spans="1:16" ht="15" customHeight="1" x14ac:dyDescent="0.3">
      <c r="A124" s="9" t="s">
        <v>258</v>
      </c>
      <c r="B124" s="21">
        <v>45890</v>
      </c>
      <c r="C124" s="15" t="s">
        <v>91</v>
      </c>
      <c r="D124" s="9" t="s">
        <v>73</v>
      </c>
      <c r="E124" s="9" t="s">
        <v>109</v>
      </c>
      <c r="F124" s="9">
        <v>11</v>
      </c>
      <c r="G124" s="10">
        <v>52000</v>
      </c>
      <c r="H124" s="10">
        <f t="shared" si="6"/>
        <v>572000</v>
      </c>
      <c r="I124" s="9" t="s">
        <v>82</v>
      </c>
      <c r="J124" s="9" t="s">
        <v>79</v>
      </c>
      <c r="K124" t="str">
        <f t="shared" si="7"/>
        <v>August</v>
      </c>
      <c r="M124" t="b">
        <f t="shared" si="8"/>
        <v>1</v>
      </c>
      <c r="N124" s="20">
        <f t="shared" si="9"/>
        <v>52000</v>
      </c>
      <c r="O124" s="20" t="b">
        <f t="shared" si="10"/>
        <v>1</v>
      </c>
      <c r="P124" t="b">
        <f t="shared" si="11"/>
        <v>1</v>
      </c>
    </row>
    <row r="125" spans="1:16" ht="15" customHeight="1" x14ac:dyDescent="0.3">
      <c r="A125" s="9" t="s">
        <v>179</v>
      </c>
      <c r="B125" s="21">
        <v>45891</v>
      </c>
      <c r="C125" s="15" t="s">
        <v>72</v>
      </c>
      <c r="D125" s="9" t="s">
        <v>87</v>
      </c>
      <c r="E125" s="9" t="s">
        <v>177</v>
      </c>
      <c r="F125" s="9">
        <v>16</v>
      </c>
      <c r="G125" s="10">
        <v>105000</v>
      </c>
      <c r="H125" s="10">
        <f t="shared" si="6"/>
        <v>1680000</v>
      </c>
      <c r="I125" s="9" t="s">
        <v>93</v>
      </c>
      <c r="J125" s="9" t="s">
        <v>70</v>
      </c>
      <c r="K125" t="str">
        <f t="shared" si="7"/>
        <v>August</v>
      </c>
      <c r="M125" t="b">
        <f t="shared" si="8"/>
        <v>1</v>
      </c>
      <c r="N125" s="20">
        <f t="shared" si="9"/>
        <v>105000</v>
      </c>
      <c r="O125" s="20" t="b">
        <f t="shared" si="10"/>
        <v>1</v>
      </c>
      <c r="P125" t="b">
        <f t="shared" si="11"/>
        <v>1</v>
      </c>
    </row>
    <row r="126" spans="1:16" ht="15" customHeight="1" x14ac:dyDescent="0.3">
      <c r="A126" s="9" t="s">
        <v>263</v>
      </c>
      <c r="B126" s="21">
        <v>45892</v>
      </c>
      <c r="C126" s="15" t="s">
        <v>72</v>
      </c>
      <c r="D126" s="9" t="s">
        <v>87</v>
      </c>
      <c r="E126" s="9" t="s">
        <v>140</v>
      </c>
      <c r="F126" s="9">
        <v>24</v>
      </c>
      <c r="G126" s="10">
        <v>120000</v>
      </c>
      <c r="H126" s="10">
        <f t="shared" si="6"/>
        <v>2880000</v>
      </c>
      <c r="I126" s="9" t="s">
        <v>93</v>
      </c>
      <c r="J126" s="9" t="s">
        <v>79</v>
      </c>
      <c r="K126" t="str">
        <f t="shared" si="7"/>
        <v>August</v>
      </c>
      <c r="M126" t="b">
        <f t="shared" si="8"/>
        <v>1</v>
      </c>
      <c r="N126" s="20">
        <f t="shared" si="9"/>
        <v>120000</v>
      </c>
      <c r="O126" s="20" t="b">
        <f t="shared" si="10"/>
        <v>1</v>
      </c>
      <c r="P126" t="b">
        <f t="shared" si="11"/>
        <v>1</v>
      </c>
    </row>
    <row r="127" spans="1:16" ht="15" customHeight="1" x14ac:dyDescent="0.3">
      <c r="A127" s="9" t="s">
        <v>169</v>
      </c>
      <c r="B127" s="21">
        <v>45893</v>
      </c>
      <c r="C127" s="15" t="s">
        <v>84</v>
      </c>
      <c r="D127" s="9" t="s">
        <v>111</v>
      </c>
      <c r="E127" s="9" t="s">
        <v>148</v>
      </c>
      <c r="F127" s="9">
        <v>14</v>
      </c>
      <c r="G127" s="10">
        <v>105000</v>
      </c>
      <c r="H127" s="10">
        <f t="shared" si="6"/>
        <v>1470000</v>
      </c>
      <c r="I127" s="9" t="s">
        <v>69</v>
      </c>
      <c r="J127" s="9" t="s">
        <v>70</v>
      </c>
      <c r="K127" t="str">
        <f t="shared" si="7"/>
        <v>August</v>
      </c>
      <c r="M127" t="b">
        <f t="shared" si="8"/>
        <v>1</v>
      </c>
      <c r="N127" s="20">
        <f t="shared" si="9"/>
        <v>105000</v>
      </c>
      <c r="O127" s="20" t="b">
        <f t="shared" si="10"/>
        <v>1</v>
      </c>
      <c r="P127" t="b">
        <f t="shared" si="11"/>
        <v>1</v>
      </c>
    </row>
    <row r="128" spans="1:16" ht="15" customHeight="1" x14ac:dyDescent="0.3">
      <c r="A128" s="9" t="s">
        <v>71</v>
      </c>
      <c r="B128" s="21">
        <v>45894</v>
      </c>
      <c r="C128" s="15" t="s">
        <v>72</v>
      </c>
      <c r="D128" s="9" t="s">
        <v>73</v>
      </c>
      <c r="E128" s="9" t="s">
        <v>74</v>
      </c>
      <c r="F128" s="9">
        <v>6</v>
      </c>
      <c r="G128" s="10">
        <v>37000</v>
      </c>
      <c r="H128" s="10">
        <f t="shared" si="6"/>
        <v>222000</v>
      </c>
      <c r="I128" s="9" t="s">
        <v>75</v>
      </c>
      <c r="J128" s="9" t="s">
        <v>70</v>
      </c>
      <c r="K128" t="str">
        <f t="shared" si="7"/>
        <v>August</v>
      </c>
      <c r="M128" t="b">
        <f t="shared" si="8"/>
        <v>1</v>
      </c>
      <c r="N128" s="20">
        <f t="shared" si="9"/>
        <v>37000</v>
      </c>
      <c r="O128" s="20" t="b">
        <f t="shared" si="10"/>
        <v>1</v>
      </c>
      <c r="P128" t="b">
        <f t="shared" si="11"/>
        <v>1</v>
      </c>
    </row>
    <row r="129" spans="1:16" ht="15" customHeight="1" x14ac:dyDescent="0.3">
      <c r="A129" s="9" t="s">
        <v>121</v>
      </c>
      <c r="B129" s="21">
        <v>45896</v>
      </c>
      <c r="C129" s="15" t="s">
        <v>72</v>
      </c>
      <c r="D129" s="9" t="s">
        <v>104</v>
      </c>
      <c r="E129" s="9" t="s">
        <v>122</v>
      </c>
      <c r="F129" s="9">
        <v>3</v>
      </c>
      <c r="G129" s="10">
        <v>111000</v>
      </c>
      <c r="H129" s="10">
        <f t="shared" si="6"/>
        <v>333000</v>
      </c>
      <c r="I129" s="9" t="s">
        <v>89</v>
      </c>
      <c r="J129" s="9" t="s">
        <v>79</v>
      </c>
      <c r="K129" t="str">
        <f t="shared" si="7"/>
        <v>August</v>
      </c>
      <c r="M129" t="b">
        <f t="shared" si="8"/>
        <v>1</v>
      </c>
      <c r="N129" s="20">
        <f t="shared" si="9"/>
        <v>111000</v>
      </c>
      <c r="O129" s="20" t="b">
        <f t="shared" si="10"/>
        <v>1</v>
      </c>
      <c r="P129" t="b">
        <f t="shared" si="11"/>
        <v>1</v>
      </c>
    </row>
    <row r="130" spans="1:16" ht="15" customHeight="1" x14ac:dyDescent="0.3">
      <c r="A130" s="9" t="s">
        <v>150</v>
      </c>
      <c r="B130" s="21">
        <v>45896</v>
      </c>
      <c r="C130" s="15" t="s">
        <v>91</v>
      </c>
      <c r="D130" s="9" t="s">
        <v>104</v>
      </c>
      <c r="E130" s="9" t="s">
        <v>145</v>
      </c>
      <c r="F130" s="9">
        <v>11</v>
      </c>
      <c r="G130" s="10">
        <v>61000</v>
      </c>
      <c r="H130" s="10">
        <f t="shared" ref="H130:H193" si="12">F130*G130</f>
        <v>671000</v>
      </c>
      <c r="I130" s="9" t="s">
        <v>89</v>
      </c>
      <c r="J130" s="9" t="s">
        <v>70</v>
      </c>
      <c r="K130" t="str">
        <f t="shared" ref="K130:K193" si="13">TEXT(B130,"MMMM")</f>
        <v>August</v>
      </c>
      <c r="M130" t="b">
        <f t="shared" si="8"/>
        <v>1</v>
      </c>
      <c r="N130" s="20">
        <f t="shared" si="9"/>
        <v>61000</v>
      </c>
      <c r="O130" s="20" t="b">
        <f t="shared" si="10"/>
        <v>1</v>
      </c>
      <c r="P130" t="b">
        <f t="shared" si="11"/>
        <v>1</v>
      </c>
    </row>
    <row r="131" spans="1:16" ht="15" customHeight="1" x14ac:dyDescent="0.3">
      <c r="A131" s="9" t="s">
        <v>250</v>
      </c>
      <c r="B131" s="21">
        <v>45898</v>
      </c>
      <c r="C131" s="15" t="s">
        <v>72</v>
      </c>
      <c r="D131" s="9" t="s">
        <v>67</v>
      </c>
      <c r="E131" s="9" t="s">
        <v>117</v>
      </c>
      <c r="F131" s="9">
        <v>10</v>
      </c>
      <c r="G131" s="10">
        <v>215000</v>
      </c>
      <c r="H131" s="10">
        <f t="shared" si="12"/>
        <v>2150000</v>
      </c>
      <c r="I131" s="9" t="s">
        <v>82</v>
      </c>
      <c r="J131" s="9" t="s">
        <v>115</v>
      </c>
      <c r="K131" t="str">
        <f t="shared" si="13"/>
        <v>August</v>
      </c>
      <c r="M131" t="b">
        <f t="shared" ref="M131:M194" si="14">ISNUMBER(F131)</f>
        <v>1</v>
      </c>
      <c r="N131" s="20">
        <f t="shared" ref="N131:N194" si="15">VALUE(SUBSTITUTE(SUBSTITUTE(G131,"Rp",""),",",""))</f>
        <v>215000</v>
      </c>
      <c r="O131" s="20" t="b">
        <f t="shared" ref="O131:O194" si="16">AND(B131&gt;=DATE(2025,1,1), B131&lt;=DATE(2025,12,31))</f>
        <v>1</v>
      </c>
      <c r="P131" t="b">
        <f t="shared" ref="P131:P194" si="17">ROUND(F131*G131,0)=ROUND(H131,0)</f>
        <v>1</v>
      </c>
    </row>
    <row r="132" spans="1:16" ht="15" customHeight="1" x14ac:dyDescent="0.3">
      <c r="A132" s="9" t="s">
        <v>83</v>
      </c>
      <c r="B132" s="21">
        <v>45900</v>
      </c>
      <c r="C132" s="15" t="s">
        <v>84</v>
      </c>
      <c r="D132" s="9" t="s">
        <v>67</v>
      </c>
      <c r="E132" s="9" t="s">
        <v>85</v>
      </c>
      <c r="F132" s="9">
        <v>3</v>
      </c>
      <c r="G132" s="10">
        <v>145000</v>
      </c>
      <c r="H132" s="10">
        <f t="shared" si="12"/>
        <v>435000</v>
      </c>
      <c r="I132" s="9" t="s">
        <v>82</v>
      </c>
      <c r="J132" s="9" t="s">
        <v>70</v>
      </c>
      <c r="K132" t="str">
        <f t="shared" si="13"/>
        <v>August</v>
      </c>
      <c r="M132" t="b">
        <f t="shared" si="14"/>
        <v>1</v>
      </c>
      <c r="N132" s="20">
        <f t="shared" si="15"/>
        <v>145000</v>
      </c>
      <c r="O132" s="20" t="b">
        <f t="shared" si="16"/>
        <v>1</v>
      </c>
      <c r="P132" t="b">
        <f t="shared" si="17"/>
        <v>1</v>
      </c>
    </row>
    <row r="133" spans="1:16" ht="15" customHeight="1" x14ac:dyDescent="0.3">
      <c r="A133" s="9" t="s">
        <v>157</v>
      </c>
      <c r="B133" s="21">
        <v>45901</v>
      </c>
      <c r="C133" s="15" t="s">
        <v>107</v>
      </c>
      <c r="D133" s="9" t="s">
        <v>87</v>
      </c>
      <c r="E133" s="9" t="s">
        <v>140</v>
      </c>
      <c r="F133" s="9">
        <v>15</v>
      </c>
      <c r="G133" s="10">
        <v>132000</v>
      </c>
      <c r="H133" s="10">
        <f t="shared" si="12"/>
        <v>1980000</v>
      </c>
      <c r="I133" s="9" t="s">
        <v>82</v>
      </c>
      <c r="J133" s="9" t="s">
        <v>70</v>
      </c>
      <c r="K133" t="str">
        <f t="shared" si="13"/>
        <v>September</v>
      </c>
      <c r="M133" t="b">
        <f t="shared" si="14"/>
        <v>1</v>
      </c>
      <c r="N133" s="20">
        <f t="shared" si="15"/>
        <v>132000</v>
      </c>
      <c r="O133" s="20" t="b">
        <f t="shared" si="16"/>
        <v>1</v>
      </c>
      <c r="P133" t="b">
        <f t="shared" si="17"/>
        <v>1</v>
      </c>
    </row>
    <row r="134" spans="1:16" ht="15" customHeight="1" x14ac:dyDescent="0.3">
      <c r="A134" s="9" t="s">
        <v>113</v>
      </c>
      <c r="B134" s="21">
        <v>45904</v>
      </c>
      <c r="C134" s="15" t="s">
        <v>72</v>
      </c>
      <c r="D134" s="9" t="s">
        <v>111</v>
      </c>
      <c r="E134" s="9" t="s">
        <v>114</v>
      </c>
      <c r="F134" s="9">
        <v>15</v>
      </c>
      <c r="G134" s="10">
        <v>111000</v>
      </c>
      <c r="H134" s="10">
        <f t="shared" si="12"/>
        <v>1665000</v>
      </c>
      <c r="I134" s="9" t="s">
        <v>89</v>
      </c>
      <c r="J134" s="9" t="s">
        <v>115</v>
      </c>
      <c r="K134" t="str">
        <f t="shared" si="13"/>
        <v>September</v>
      </c>
      <c r="M134" t="b">
        <f t="shared" si="14"/>
        <v>1</v>
      </c>
      <c r="N134" s="20">
        <f t="shared" si="15"/>
        <v>111000</v>
      </c>
      <c r="O134" s="20" t="b">
        <f t="shared" si="16"/>
        <v>1</v>
      </c>
      <c r="P134" t="b">
        <f t="shared" si="17"/>
        <v>1</v>
      </c>
    </row>
    <row r="135" spans="1:16" ht="15" customHeight="1" x14ac:dyDescent="0.3">
      <c r="A135" s="9" t="s">
        <v>273</v>
      </c>
      <c r="B135" s="21">
        <v>45904</v>
      </c>
      <c r="C135" s="15" t="s">
        <v>136</v>
      </c>
      <c r="D135" s="9" t="s">
        <v>104</v>
      </c>
      <c r="E135" s="9" t="s">
        <v>105</v>
      </c>
      <c r="F135" s="9">
        <v>23</v>
      </c>
      <c r="G135" s="10">
        <v>127000</v>
      </c>
      <c r="H135" s="10">
        <f t="shared" si="12"/>
        <v>2921000</v>
      </c>
      <c r="I135" s="9" t="s">
        <v>82</v>
      </c>
      <c r="J135" s="9" t="s">
        <v>70</v>
      </c>
      <c r="K135" t="str">
        <f t="shared" si="13"/>
        <v>September</v>
      </c>
      <c r="M135" t="b">
        <f t="shared" si="14"/>
        <v>1</v>
      </c>
      <c r="N135" s="20">
        <f t="shared" si="15"/>
        <v>127000</v>
      </c>
      <c r="O135" s="20" t="b">
        <f t="shared" si="16"/>
        <v>1</v>
      </c>
      <c r="P135" t="b">
        <f t="shared" si="17"/>
        <v>1</v>
      </c>
    </row>
    <row r="136" spans="1:16" ht="15" customHeight="1" x14ac:dyDescent="0.3">
      <c r="A136" s="9" t="s">
        <v>141</v>
      </c>
      <c r="B136" s="21">
        <v>45907</v>
      </c>
      <c r="C136" s="15" t="s">
        <v>107</v>
      </c>
      <c r="D136" s="9" t="s">
        <v>67</v>
      </c>
      <c r="E136" s="9" t="s">
        <v>131</v>
      </c>
      <c r="F136" s="9">
        <v>3</v>
      </c>
      <c r="G136" s="10">
        <v>95000</v>
      </c>
      <c r="H136" s="10">
        <f t="shared" si="12"/>
        <v>285000</v>
      </c>
      <c r="I136" s="9" t="s">
        <v>69</v>
      </c>
      <c r="J136" s="9" t="s">
        <v>79</v>
      </c>
      <c r="K136" t="str">
        <f t="shared" si="13"/>
        <v>September</v>
      </c>
      <c r="M136" t="b">
        <f t="shared" si="14"/>
        <v>1</v>
      </c>
      <c r="N136" s="20">
        <f t="shared" si="15"/>
        <v>95000</v>
      </c>
      <c r="O136" s="20" t="b">
        <f t="shared" si="16"/>
        <v>1</v>
      </c>
      <c r="P136" t="b">
        <f t="shared" si="17"/>
        <v>1</v>
      </c>
    </row>
    <row r="137" spans="1:16" ht="15" customHeight="1" x14ac:dyDescent="0.3">
      <c r="A137" s="9" t="s">
        <v>330</v>
      </c>
      <c r="B137" s="21">
        <v>45907</v>
      </c>
      <c r="C137" s="15" t="s">
        <v>98</v>
      </c>
      <c r="D137" s="9" t="s">
        <v>87</v>
      </c>
      <c r="E137" s="9" t="s">
        <v>88</v>
      </c>
      <c r="F137" s="9">
        <v>7</v>
      </c>
      <c r="G137" s="10">
        <v>60000</v>
      </c>
      <c r="H137" s="10">
        <f t="shared" si="12"/>
        <v>420000</v>
      </c>
      <c r="I137" s="9" t="s">
        <v>69</v>
      </c>
      <c r="J137" s="9" t="s">
        <v>70</v>
      </c>
      <c r="K137" t="str">
        <f t="shared" si="13"/>
        <v>September</v>
      </c>
      <c r="M137" t="b">
        <f t="shared" si="14"/>
        <v>1</v>
      </c>
      <c r="N137" s="20">
        <f t="shared" si="15"/>
        <v>60000</v>
      </c>
      <c r="O137" s="20" t="b">
        <f t="shared" si="16"/>
        <v>1</v>
      </c>
      <c r="P137" t="b">
        <f t="shared" si="17"/>
        <v>1</v>
      </c>
    </row>
    <row r="138" spans="1:16" ht="15" customHeight="1" x14ac:dyDescent="0.3">
      <c r="A138" s="9" t="s">
        <v>151</v>
      </c>
      <c r="B138" s="21">
        <v>45908</v>
      </c>
      <c r="C138" s="15" t="s">
        <v>101</v>
      </c>
      <c r="D138" s="9" t="s">
        <v>73</v>
      </c>
      <c r="E138" s="9" t="s">
        <v>102</v>
      </c>
      <c r="F138" s="9">
        <v>2</v>
      </c>
      <c r="G138" s="10">
        <v>76000</v>
      </c>
      <c r="H138" s="10">
        <f t="shared" si="12"/>
        <v>152000</v>
      </c>
      <c r="I138" s="9" t="s">
        <v>82</v>
      </c>
      <c r="J138" s="9" t="s">
        <v>79</v>
      </c>
      <c r="K138" t="str">
        <f t="shared" si="13"/>
        <v>September</v>
      </c>
      <c r="M138" t="b">
        <f t="shared" si="14"/>
        <v>1</v>
      </c>
      <c r="N138" s="20">
        <f t="shared" si="15"/>
        <v>76000</v>
      </c>
      <c r="O138" s="20" t="b">
        <f t="shared" si="16"/>
        <v>1</v>
      </c>
      <c r="P138" t="b">
        <f t="shared" si="17"/>
        <v>1</v>
      </c>
    </row>
    <row r="139" spans="1:16" ht="15" customHeight="1" x14ac:dyDescent="0.3">
      <c r="A139" s="9" t="s">
        <v>210</v>
      </c>
      <c r="B139" s="21">
        <v>45915</v>
      </c>
      <c r="C139" s="15" t="s">
        <v>107</v>
      </c>
      <c r="D139" s="9" t="s">
        <v>87</v>
      </c>
      <c r="E139" s="9" t="s">
        <v>140</v>
      </c>
      <c r="F139" s="9">
        <v>17</v>
      </c>
      <c r="G139" s="10">
        <v>92000</v>
      </c>
      <c r="H139" s="10">
        <f t="shared" si="12"/>
        <v>1564000</v>
      </c>
      <c r="I139" s="9" t="s">
        <v>82</v>
      </c>
      <c r="J139" s="9" t="s">
        <v>70</v>
      </c>
      <c r="K139" t="str">
        <f t="shared" si="13"/>
        <v>September</v>
      </c>
      <c r="M139" t="b">
        <f t="shared" si="14"/>
        <v>1</v>
      </c>
      <c r="N139" s="20">
        <f t="shared" si="15"/>
        <v>92000</v>
      </c>
      <c r="O139" s="20" t="b">
        <f t="shared" si="16"/>
        <v>1</v>
      </c>
      <c r="P139" t="b">
        <f t="shared" si="17"/>
        <v>1</v>
      </c>
    </row>
    <row r="140" spans="1:16" ht="15" customHeight="1" x14ac:dyDescent="0.3">
      <c r="A140" s="9" t="s">
        <v>299</v>
      </c>
      <c r="B140" s="21">
        <v>45916</v>
      </c>
      <c r="C140" s="15" t="s">
        <v>81</v>
      </c>
      <c r="D140" s="9" t="s">
        <v>87</v>
      </c>
      <c r="E140" s="9" t="s">
        <v>92</v>
      </c>
      <c r="F140" s="9">
        <v>19</v>
      </c>
      <c r="G140" s="10">
        <v>57000</v>
      </c>
      <c r="H140" s="10">
        <f t="shared" si="12"/>
        <v>1083000</v>
      </c>
      <c r="I140" s="9" t="s">
        <v>93</v>
      </c>
      <c r="J140" s="9" t="s">
        <v>79</v>
      </c>
      <c r="K140" t="str">
        <f t="shared" si="13"/>
        <v>September</v>
      </c>
      <c r="M140" t="b">
        <f t="shared" si="14"/>
        <v>1</v>
      </c>
      <c r="N140" s="20">
        <f t="shared" si="15"/>
        <v>57000</v>
      </c>
      <c r="O140" s="20" t="b">
        <f t="shared" si="16"/>
        <v>1</v>
      </c>
      <c r="P140" t="b">
        <f t="shared" si="17"/>
        <v>1</v>
      </c>
    </row>
    <row r="141" spans="1:16" ht="15" customHeight="1" x14ac:dyDescent="0.3">
      <c r="A141" s="9" t="s">
        <v>116</v>
      </c>
      <c r="B141" s="21">
        <v>45918</v>
      </c>
      <c r="C141" s="15" t="s">
        <v>77</v>
      </c>
      <c r="D141" s="9" t="s">
        <v>67</v>
      </c>
      <c r="E141" s="9" t="s">
        <v>117</v>
      </c>
      <c r="F141" s="9">
        <v>5</v>
      </c>
      <c r="G141" s="10">
        <v>95000</v>
      </c>
      <c r="H141" s="10">
        <f t="shared" si="12"/>
        <v>475000</v>
      </c>
      <c r="I141" s="9" t="s">
        <v>93</v>
      </c>
      <c r="J141" s="9" t="s">
        <v>70</v>
      </c>
      <c r="K141" t="str">
        <f t="shared" si="13"/>
        <v>September</v>
      </c>
      <c r="M141" t="b">
        <f t="shared" si="14"/>
        <v>1</v>
      </c>
      <c r="N141" s="20">
        <f t="shared" si="15"/>
        <v>95000</v>
      </c>
      <c r="O141" s="20" t="b">
        <f t="shared" si="16"/>
        <v>1</v>
      </c>
      <c r="P141" t="b">
        <f t="shared" si="17"/>
        <v>1</v>
      </c>
    </row>
    <row r="142" spans="1:16" ht="15" customHeight="1" x14ac:dyDescent="0.3">
      <c r="A142" s="9" t="s">
        <v>230</v>
      </c>
      <c r="B142" s="21">
        <v>45918</v>
      </c>
      <c r="C142" s="15" t="s">
        <v>91</v>
      </c>
      <c r="D142" s="9" t="s">
        <v>104</v>
      </c>
      <c r="E142" s="9" t="s">
        <v>145</v>
      </c>
      <c r="F142" s="9">
        <v>1</v>
      </c>
      <c r="G142" s="10">
        <v>63000</v>
      </c>
      <c r="H142" s="10">
        <f t="shared" si="12"/>
        <v>63000</v>
      </c>
      <c r="I142" s="9" t="s">
        <v>69</v>
      </c>
      <c r="J142" s="9" t="s">
        <v>70</v>
      </c>
      <c r="K142" t="str">
        <f t="shared" si="13"/>
        <v>September</v>
      </c>
      <c r="M142" t="b">
        <f t="shared" si="14"/>
        <v>1</v>
      </c>
      <c r="N142" s="20">
        <f t="shared" si="15"/>
        <v>63000</v>
      </c>
      <c r="O142" s="20" t="b">
        <f t="shared" si="16"/>
        <v>1</v>
      </c>
      <c r="P142" t="b">
        <f t="shared" si="17"/>
        <v>1</v>
      </c>
    </row>
    <row r="143" spans="1:16" ht="15" customHeight="1" x14ac:dyDescent="0.3">
      <c r="A143" s="9" t="s">
        <v>291</v>
      </c>
      <c r="B143" s="21">
        <v>45919</v>
      </c>
      <c r="C143" s="15" t="s">
        <v>81</v>
      </c>
      <c r="D143" s="9" t="s">
        <v>67</v>
      </c>
      <c r="E143" s="9" t="s">
        <v>95</v>
      </c>
      <c r="F143" s="9">
        <v>5</v>
      </c>
      <c r="G143" s="10">
        <v>166000</v>
      </c>
      <c r="H143" s="10">
        <f t="shared" si="12"/>
        <v>830000</v>
      </c>
      <c r="I143" s="9" t="s">
        <v>93</v>
      </c>
      <c r="J143" s="9" t="s">
        <v>70</v>
      </c>
      <c r="K143" t="str">
        <f t="shared" si="13"/>
        <v>September</v>
      </c>
      <c r="M143" t="b">
        <f t="shared" si="14"/>
        <v>1</v>
      </c>
      <c r="N143" s="20">
        <f t="shared" si="15"/>
        <v>166000</v>
      </c>
      <c r="O143" s="20" t="b">
        <f t="shared" si="16"/>
        <v>1</v>
      </c>
      <c r="P143" t="b">
        <f t="shared" si="17"/>
        <v>1</v>
      </c>
    </row>
    <row r="144" spans="1:16" ht="15" customHeight="1" x14ac:dyDescent="0.3">
      <c r="A144" s="9" t="s">
        <v>108</v>
      </c>
      <c r="B144" s="21">
        <v>45920</v>
      </c>
      <c r="C144" s="15" t="s">
        <v>98</v>
      </c>
      <c r="D144" s="9" t="s">
        <v>73</v>
      </c>
      <c r="E144" s="9" t="s">
        <v>109</v>
      </c>
      <c r="F144" s="9">
        <v>8</v>
      </c>
      <c r="G144" s="10">
        <v>23000</v>
      </c>
      <c r="H144" s="10">
        <f t="shared" si="12"/>
        <v>184000</v>
      </c>
      <c r="I144" s="9" t="s">
        <v>69</v>
      </c>
      <c r="J144" s="9" t="s">
        <v>70</v>
      </c>
      <c r="K144" t="str">
        <f t="shared" si="13"/>
        <v>September</v>
      </c>
      <c r="M144" t="b">
        <f t="shared" si="14"/>
        <v>1</v>
      </c>
      <c r="N144" s="20">
        <f t="shared" si="15"/>
        <v>23000</v>
      </c>
      <c r="O144" s="20" t="b">
        <f t="shared" si="16"/>
        <v>1</v>
      </c>
      <c r="P144" t="b">
        <f t="shared" si="17"/>
        <v>1</v>
      </c>
    </row>
    <row r="145" spans="1:16" ht="15" customHeight="1" x14ac:dyDescent="0.3">
      <c r="A145" s="9" t="s">
        <v>166</v>
      </c>
      <c r="B145" s="21">
        <v>45926</v>
      </c>
      <c r="C145" s="15" t="s">
        <v>84</v>
      </c>
      <c r="D145" s="9" t="s">
        <v>73</v>
      </c>
      <c r="E145" s="9" t="s">
        <v>102</v>
      </c>
      <c r="F145" s="9">
        <v>24</v>
      </c>
      <c r="G145" s="10">
        <v>41000</v>
      </c>
      <c r="H145" s="10">
        <f t="shared" si="12"/>
        <v>984000</v>
      </c>
      <c r="I145" s="9" t="s">
        <v>93</v>
      </c>
      <c r="J145" s="9" t="s">
        <v>79</v>
      </c>
      <c r="K145" t="str">
        <f t="shared" si="13"/>
        <v>September</v>
      </c>
      <c r="M145" t="b">
        <f t="shared" si="14"/>
        <v>1</v>
      </c>
      <c r="N145" s="20">
        <f t="shared" si="15"/>
        <v>41000</v>
      </c>
      <c r="O145" s="20" t="b">
        <f t="shared" si="16"/>
        <v>1</v>
      </c>
      <c r="P145" t="b">
        <f t="shared" si="17"/>
        <v>1</v>
      </c>
    </row>
    <row r="146" spans="1:16" ht="15" customHeight="1" x14ac:dyDescent="0.3">
      <c r="A146" s="9" t="s">
        <v>124</v>
      </c>
      <c r="B146" s="21">
        <v>45929</v>
      </c>
      <c r="C146" s="15" t="s">
        <v>107</v>
      </c>
      <c r="D146" s="9" t="s">
        <v>87</v>
      </c>
      <c r="E146" s="9" t="s">
        <v>88</v>
      </c>
      <c r="F146" s="9">
        <v>12</v>
      </c>
      <c r="G146" s="10">
        <v>82000</v>
      </c>
      <c r="H146" s="10">
        <f t="shared" si="12"/>
        <v>984000</v>
      </c>
      <c r="I146" s="9" t="s">
        <v>75</v>
      </c>
      <c r="J146" s="9" t="s">
        <v>70</v>
      </c>
      <c r="K146" t="str">
        <f t="shared" si="13"/>
        <v>September</v>
      </c>
      <c r="M146" t="b">
        <f t="shared" si="14"/>
        <v>1</v>
      </c>
      <c r="N146" s="20">
        <f t="shared" si="15"/>
        <v>82000</v>
      </c>
      <c r="O146" s="20" t="b">
        <f t="shared" si="16"/>
        <v>1</v>
      </c>
      <c r="P146" t="b">
        <f t="shared" si="17"/>
        <v>1</v>
      </c>
    </row>
    <row r="147" spans="1:16" ht="15" customHeight="1" x14ac:dyDescent="0.3">
      <c r="A147" s="9" t="s">
        <v>255</v>
      </c>
      <c r="B147" s="21">
        <v>45930</v>
      </c>
      <c r="C147" s="15" t="s">
        <v>98</v>
      </c>
      <c r="D147" s="9" t="s">
        <v>87</v>
      </c>
      <c r="E147" s="9" t="s">
        <v>177</v>
      </c>
      <c r="F147" s="9">
        <v>18</v>
      </c>
      <c r="G147" s="10">
        <v>112000</v>
      </c>
      <c r="H147" s="10">
        <f t="shared" si="12"/>
        <v>2016000</v>
      </c>
      <c r="I147" s="9" t="s">
        <v>93</v>
      </c>
      <c r="J147" s="9" t="s">
        <v>79</v>
      </c>
      <c r="K147" t="str">
        <f t="shared" si="13"/>
        <v>September</v>
      </c>
      <c r="M147" t="b">
        <f t="shared" si="14"/>
        <v>1</v>
      </c>
      <c r="N147" s="20">
        <f t="shared" si="15"/>
        <v>112000</v>
      </c>
      <c r="O147" s="20" t="b">
        <f t="shared" si="16"/>
        <v>1</v>
      </c>
      <c r="P147" t="b">
        <f t="shared" si="17"/>
        <v>1</v>
      </c>
    </row>
    <row r="148" spans="1:16" ht="15" customHeight="1" x14ac:dyDescent="0.3">
      <c r="A148" s="9" t="s">
        <v>328</v>
      </c>
      <c r="B148" s="21">
        <v>45932</v>
      </c>
      <c r="C148" s="15" t="s">
        <v>98</v>
      </c>
      <c r="D148" s="9" t="s">
        <v>87</v>
      </c>
      <c r="E148" s="9" t="s">
        <v>88</v>
      </c>
      <c r="F148" s="9">
        <v>17</v>
      </c>
      <c r="G148" s="10">
        <v>74000</v>
      </c>
      <c r="H148" s="10">
        <f t="shared" si="12"/>
        <v>1258000</v>
      </c>
      <c r="I148" s="9" t="s">
        <v>93</v>
      </c>
      <c r="J148" s="9" t="s">
        <v>70</v>
      </c>
      <c r="K148" t="str">
        <f t="shared" si="13"/>
        <v>October</v>
      </c>
      <c r="M148" t="b">
        <f t="shared" si="14"/>
        <v>1</v>
      </c>
      <c r="N148" s="20">
        <f t="shared" si="15"/>
        <v>74000</v>
      </c>
      <c r="O148" s="20" t="b">
        <f t="shared" si="16"/>
        <v>1</v>
      </c>
      <c r="P148" t="b">
        <f t="shared" si="17"/>
        <v>1</v>
      </c>
    </row>
    <row r="149" spans="1:16" ht="15" customHeight="1" x14ac:dyDescent="0.3">
      <c r="A149" s="9" t="s">
        <v>282</v>
      </c>
      <c r="B149" s="21">
        <v>45933</v>
      </c>
      <c r="C149" s="15" t="s">
        <v>91</v>
      </c>
      <c r="D149" s="9" t="s">
        <v>104</v>
      </c>
      <c r="E149" s="9" t="s">
        <v>122</v>
      </c>
      <c r="F149" s="9">
        <v>24</v>
      </c>
      <c r="G149" s="10">
        <v>68000</v>
      </c>
      <c r="H149" s="10">
        <f t="shared" si="12"/>
        <v>1632000</v>
      </c>
      <c r="I149" s="9" t="s">
        <v>89</v>
      </c>
      <c r="J149" s="9" t="s">
        <v>79</v>
      </c>
      <c r="K149" t="str">
        <f t="shared" si="13"/>
        <v>October</v>
      </c>
      <c r="M149" t="b">
        <f t="shared" si="14"/>
        <v>1</v>
      </c>
      <c r="N149" s="20">
        <f t="shared" si="15"/>
        <v>68000</v>
      </c>
      <c r="O149" s="20" t="b">
        <f t="shared" si="16"/>
        <v>1</v>
      </c>
      <c r="P149" t="b">
        <f t="shared" si="17"/>
        <v>1</v>
      </c>
    </row>
    <row r="150" spans="1:16" ht="15" customHeight="1" x14ac:dyDescent="0.3">
      <c r="A150" s="9" t="s">
        <v>118</v>
      </c>
      <c r="B150" s="21">
        <v>45933</v>
      </c>
      <c r="C150" s="15" t="s">
        <v>98</v>
      </c>
      <c r="D150" s="9" t="s">
        <v>73</v>
      </c>
      <c r="E150" s="9" t="s">
        <v>74</v>
      </c>
      <c r="F150" s="9">
        <v>12</v>
      </c>
      <c r="G150" s="10">
        <v>39000</v>
      </c>
      <c r="H150" s="10">
        <f t="shared" si="12"/>
        <v>468000</v>
      </c>
      <c r="I150" s="9" t="s">
        <v>89</v>
      </c>
      <c r="J150" s="9" t="s">
        <v>79</v>
      </c>
      <c r="K150" t="str">
        <f t="shared" si="13"/>
        <v>October</v>
      </c>
      <c r="M150" t="b">
        <f t="shared" si="14"/>
        <v>1</v>
      </c>
      <c r="N150" s="20">
        <f t="shared" si="15"/>
        <v>39000</v>
      </c>
      <c r="O150" s="20" t="b">
        <f t="shared" si="16"/>
        <v>1</v>
      </c>
      <c r="P150" t="b">
        <f t="shared" si="17"/>
        <v>1</v>
      </c>
    </row>
    <row r="151" spans="1:16" ht="15" customHeight="1" x14ac:dyDescent="0.3">
      <c r="A151" s="9" t="s">
        <v>200</v>
      </c>
      <c r="B151" s="21">
        <v>45934</v>
      </c>
      <c r="C151" s="15" t="s">
        <v>72</v>
      </c>
      <c r="D151" s="9" t="s">
        <v>87</v>
      </c>
      <c r="E151" s="9" t="s">
        <v>140</v>
      </c>
      <c r="F151" s="9">
        <v>22</v>
      </c>
      <c r="G151" s="10">
        <v>78000</v>
      </c>
      <c r="H151" s="10">
        <f t="shared" si="12"/>
        <v>1716000</v>
      </c>
      <c r="I151" s="9" t="s">
        <v>82</v>
      </c>
      <c r="J151" s="9" t="s">
        <v>70</v>
      </c>
      <c r="K151" t="str">
        <f t="shared" si="13"/>
        <v>October</v>
      </c>
      <c r="M151" t="b">
        <f t="shared" si="14"/>
        <v>1</v>
      </c>
      <c r="N151" s="20">
        <f t="shared" si="15"/>
        <v>78000</v>
      </c>
      <c r="O151" s="20" t="b">
        <f t="shared" si="16"/>
        <v>1</v>
      </c>
      <c r="P151" t="b">
        <f t="shared" si="17"/>
        <v>1</v>
      </c>
    </row>
    <row r="152" spans="1:16" ht="15" customHeight="1" x14ac:dyDescent="0.3">
      <c r="A152" s="9" t="s">
        <v>249</v>
      </c>
      <c r="B152" s="21">
        <v>45934</v>
      </c>
      <c r="C152" s="15" t="s">
        <v>107</v>
      </c>
      <c r="D152" s="9" t="s">
        <v>67</v>
      </c>
      <c r="E152" s="9" t="s">
        <v>68</v>
      </c>
      <c r="F152" s="9">
        <v>11</v>
      </c>
      <c r="G152" s="10">
        <v>231000</v>
      </c>
      <c r="H152" s="10">
        <f t="shared" si="12"/>
        <v>2541000</v>
      </c>
      <c r="I152" s="9" t="s">
        <v>82</v>
      </c>
      <c r="J152" s="9" t="s">
        <v>70</v>
      </c>
      <c r="K152" t="str">
        <f t="shared" si="13"/>
        <v>October</v>
      </c>
      <c r="M152" t="b">
        <f t="shared" si="14"/>
        <v>1</v>
      </c>
      <c r="N152" s="20">
        <f t="shared" si="15"/>
        <v>231000</v>
      </c>
      <c r="O152" s="20" t="b">
        <f t="shared" si="16"/>
        <v>1</v>
      </c>
      <c r="P152" t="b">
        <f t="shared" si="17"/>
        <v>1</v>
      </c>
    </row>
    <row r="153" spans="1:16" ht="15" customHeight="1" x14ac:dyDescent="0.3">
      <c r="A153" s="9" t="s">
        <v>322</v>
      </c>
      <c r="B153" s="21">
        <v>45934</v>
      </c>
      <c r="C153" s="15" t="s">
        <v>120</v>
      </c>
      <c r="D153" s="9" t="s">
        <v>67</v>
      </c>
      <c r="E153" s="9" t="s">
        <v>117</v>
      </c>
      <c r="F153" s="9">
        <v>6</v>
      </c>
      <c r="G153" s="10">
        <v>139000</v>
      </c>
      <c r="H153" s="10">
        <f t="shared" si="12"/>
        <v>834000</v>
      </c>
      <c r="I153" s="9" t="s">
        <v>89</v>
      </c>
      <c r="J153" s="9" t="s">
        <v>115</v>
      </c>
      <c r="K153" t="str">
        <f t="shared" si="13"/>
        <v>October</v>
      </c>
      <c r="M153" t="b">
        <f t="shared" si="14"/>
        <v>1</v>
      </c>
      <c r="N153" s="20">
        <f t="shared" si="15"/>
        <v>139000</v>
      </c>
      <c r="O153" s="20" t="b">
        <f t="shared" si="16"/>
        <v>1</v>
      </c>
      <c r="P153" t="b">
        <f t="shared" si="17"/>
        <v>1</v>
      </c>
    </row>
    <row r="154" spans="1:16" ht="15" customHeight="1" x14ac:dyDescent="0.3">
      <c r="A154" s="9" t="s">
        <v>132</v>
      </c>
      <c r="B154" s="21">
        <v>45936</v>
      </c>
      <c r="C154" s="15" t="s">
        <v>91</v>
      </c>
      <c r="D154" s="9" t="s">
        <v>104</v>
      </c>
      <c r="E154" s="9" t="s">
        <v>133</v>
      </c>
      <c r="F154" s="9">
        <v>8</v>
      </c>
      <c r="G154" s="10">
        <v>65000</v>
      </c>
      <c r="H154" s="10">
        <f t="shared" si="12"/>
        <v>520000</v>
      </c>
      <c r="I154" s="9" t="s">
        <v>82</v>
      </c>
      <c r="J154" s="9" t="s">
        <v>115</v>
      </c>
      <c r="K154" t="str">
        <f t="shared" si="13"/>
        <v>October</v>
      </c>
      <c r="M154" t="b">
        <f t="shared" si="14"/>
        <v>1</v>
      </c>
      <c r="N154" s="20">
        <f t="shared" si="15"/>
        <v>65000</v>
      </c>
      <c r="O154" s="20" t="b">
        <f t="shared" si="16"/>
        <v>1</v>
      </c>
      <c r="P154" t="b">
        <f t="shared" si="17"/>
        <v>1</v>
      </c>
    </row>
    <row r="155" spans="1:16" ht="15" customHeight="1" x14ac:dyDescent="0.3">
      <c r="A155" s="9" t="s">
        <v>199</v>
      </c>
      <c r="B155" s="21">
        <v>45938</v>
      </c>
      <c r="C155" s="15" t="s">
        <v>81</v>
      </c>
      <c r="D155" s="9" t="s">
        <v>87</v>
      </c>
      <c r="E155" s="9" t="s">
        <v>177</v>
      </c>
      <c r="F155" s="9">
        <v>15</v>
      </c>
      <c r="G155" s="10">
        <v>108000</v>
      </c>
      <c r="H155" s="10">
        <f t="shared" si="12"/>
        <v>1620000</v>
      </c>
      <c r="I155" s="9" t="s">
        <v>93</v>
      </c>
      <c r="J155" s="9" t="s">
        <v>70</v>
      </c>
      <c r="K155" t="str">
        <f t="shared" si="13"/>
        <v>October</v>
      </c>
      <c r="M155" t="b">
        <f t="shared" si="14"/>
        <v>1</v>
      </c>
      <c r="N155" s="20">
        <f t="shared" si="15"/>
        <v>108000</v>
      </c>
      <c r="O155" s="20" t="b">
        <f t="shared" si="16"/>
        <v>1</v>
      </c>
      <c r="P155" t="b">
        <f t="shared" si="17"/>
        <v>1</v>
      </c>
    </row>
    <row r="156" spans="1:16" ht="15" customHeight="1" x14ac:dyDescent="0.3">
      <c r="A156" s="9" t="s">
        <v>189</v>
      </c>
      <c r="B156" s="21">
        <v>45939</v>
      </c>
      <c r="C156" s="15" t="s">
        <v>98</v>
      </c>
      <c r="D156" s="9" t="s">
        <v>73</v>
      </c>
      <c r="E156" s="9" t="s">
        <v>74</v>
      </c>
      <c r="F156" s="9">
        <v>16</v>
      </c>
      <c r="G156" s="10">
        <v>56000</v>
      </c>
      <c r="H156" s="10">
        <f t="shared" si="12"/>
        <v>896000</v>
      </c>
      <c r="I156" s="9" t="s">
        <v>75</v>
      </c>
      <c r="J156" s="9" t="s">
        <v>79</v>
      </c>
      <c r="K156" t="str">
        <f t="shared" si="13"/>
        <v>October</v>
      </c>
      <c r="M156" t="b">
        <f t="shared" si="14"/>
        <v>1</v>
      </c>
      <c r="N156" s="20">
        <f t="shared" si="15"/>
        <v>56000</v>
      </c>
      <c r="O156" s="20" t="b">
        <f t="shared" si="16"/>
        <v>1</v>
      </c>
      <c r="P156" t="b">
        <f t="shared" si="17"/>
        <v>1</v>
      </c>
    </row>
    <row r="157" spans="1:16" ht="15" customHeight="1" x14ac:dyDescent="0.3">
      <c r="A157" s="9" t="s">
        <v>196</v>
      </c>
      <c r="B157" s="21">
        <v>45939</v>
      </c>
      <c r="C157" s="15" t="s">
        <v>98</v>
      </c>
      <c r="D157" s="9" t="s">
        <v>111</v>
      </c>
      <c r="E157" s="9" t="s">
        <v>112</v>
      </c>
      <c r="F157" s="9">
        <v>23</v>
      </c>
      <c r="G157" s="10">
        <v>18000</v>
      </c>
      <c r="H157" s="10">
        <f t="shared" si="12"/>
        <v>414000</v>
      </c>
      <c r="I157" s="9" t="s">
        <v>82</v>
      </c>
      <c r="J157" s="9" t="s">
        <v>70</v>
      </c>
      <c r="K157" t="str">
        <f t="shared" si="13"/>
        <v>October</v>
      </c>
      <c r="M157" t="b">
        <f t="shared" si="14"/>
        <v>1</v>
      </c>
      <c r="N157" s="20">
        <f t="shared" si="15"/>
        <v>18000</v>
      </c>
      <c r="O157" s="20" t="b">
        <f t="shared" si="16"/>
        <v>1</v>
      </c>
      <c r="P157" t="b">
        <f t="shared" si="17"/>
        <v>1</v>
      </c>
    </row>
    <row r="158" spans="1:16" ht="15" customHeight="1" x14ac:dyDescent="0.3">
      <c r="A158" s="9" t="s">
        <v>253</v>
      </c>
      <c r="B158" s="21">
        <v>45940</v>
      </c>
      <c r="C158" s="15" t="s">
        <v>101</v>
      </c>
      <c r="D158" s="9" t="s">
        <v>87</v>
      </c>
      <c r="E158" s="9" t="s">
        <v>92</v>
      </c>
      <c r="F158" s="9">
        <v>14</v>
      </c>
      <c r="G158" s="10">
        <v>59000</v>
      </c>
      <c r="H158" s="10">
        <f t="shared" si="12"/>
        <v>826000</v>
      </c>
      <c r="I158" s="9" t="s">
        <v>75</v>
      </c>
      <c r="J158" s="9" t="s">
        <v>70</v>
      </c>
      <c r="K158" t="str">
        <f t="shared" si="13"/>
        <v>October</v>
      </c>
      <c r="M158" t="b">
        <f t="shared" si="14"/>
        <v>1</v>
      </c>
      <c r="N158" s="20">
        <f t="shared" si="15"/>
        <v>59000</v>
      </c>
      <c r="O158" s="20" t="b">
        <f t="shared" si="16"/>
        <v>1</v>
      </c>
      <c r="P158" t="b">
        <f t="shared" si="17"/>
        <v>1</v>
      </c>
    </row>
    <row r="159" spans="1:16" ht="15" customHeight="1" x14ac:dyDescent="0.3">
      <c r="A159" s="9" t="s">
        <v>311</v>
      </c>
      <c r="B159" s="21">
        <v>45940</v>
      </c>
      <c r="C159" s="15" t="s">
        <v>98</v>
      </c>
      <c r="D159" s="9" t="s">
        <v>104</v>
      </c>
      <c r="E159" s="9" t="s">
        <v>105</v>
      </c>
      <c r="F159" s="9">
        <v>3</v>
      </c>
      <c r="G159" s="10">
        <v>97000</v>
      </c>
      <c r="H159" s="10">
        <f t="shared" si="12"/>
        <v>291000</v>
      </c>
      <c r="I159" s="9" t="s">
        <v>89</v>
      </c>
      <c r="J159" s="9" t="s">
        <v>79</v>
      </c>
      <c r="K159" t="str">
        <f t="shared" si="13"/>
        <v>October</v>
      </c>
      <c r="M159" t="b">
        <f t="shared" si="14"/>
        <v>1</v>
      </c>
      <c r="N159" s="20">
        <f t="shared" si="15"/>
        <v>97000</v>
      </c>
      <c r="O159" s="20" t="b">
        <f t="shared" si="16"/>
        <v>1</v>
      </c>
      <c r="P159" t="b">
        <f t="shared" si="17"/>
        <v>1</v>
      </c>
    </row>
    <row r="160" spans="1:16" ht="15" customHeight="1" x14ac:dyDescent="0.3">
      <c r="A160" s="9" t="s">
        <v>297</v>
      </c>
      <c r="B160" s="21">
        <v>45941</v>
      </c>
      <c r="C160" s="15" t="s">
        <v>77</v>
      </c>
      <c r="D160" s="9" t="s">
        <v>104</v>
      </c>
      <c r="E160" s="9" t="s">
        <v>122</v>
      </c>
      <c r="F160" s="9">
        <v>8</v>
      </c>
      <c r="G160" s="10">
        <v>65000</v>
      </c>
      <c r="H160" s="10">
        <f t="shared" si="12"/>
        <v>520000</v>
      </c>
      <c r="I160" s="9" t="s">
        <v>82</v>
      </c>
      <c r="J160" s="9" t="s">
        <v>115</v>
      </c>
      <c r="K160" t="str">
        <f t="shared" si="13"/>
        <v>October</v>
      </c>
      <c r="M160" t="b">
        <f t="shared" si="14"/>
        <v>1</v>
      </c>
      <c r="N160" s="20">
        <f t="shared" si="15"/>
        <v>65000</v>
      </c>
      <c r="O160" s="20" t="b">
        <f t="shared" si="16"/>
        <v>1</v>
      </c>
      <c r="P160" t="b">
        <f t="shared" si="17"/>
        <v>1</v>
      </c>
    </row>
    <row r="161" spans="1:16" ht="15" customHeight="1" x14ac:dyDescent="0.3">
      <c r="A161" s="9" t="s">
        <v>254</v>
      </c>
      <c r="B161" s="21">
        <v>45941</v>
      </c>
      <c r="C161" s="15" t="s">
        <v>120</v>
      </c>
      <c r="D161" s="9" t="s">
        <v>67</v>
      </c>
      <c r="E161" s="9" t="s">
        <v>68</v>
      </c>
      <c r="F161" s="9">
        <v>18</v>
      </c>
      <c r="G161" s="10">
        <v>227000</v>
      </c>
      <c r="H161" s="10">
        <f t="shared" si="12"/>
        <v>4086000</v>
      </c>
      <c r="I161" s="9" t="s">
        <v>75</v>
      </c>
      <c r="J161" s="9" t="s">
        <v>70</v>
      </c>
      <c r="K161" t="str">
        <f t="shared" si="13"/>
        <v>October</v>
      </c>
      <c r="M161" t="b">
        <f t="shared" si="14"/>
        <v>1</v>
      </c>
      <c r="N161" s="20">
        <f t="shared" si="15"/>
        <v>227000</v>
      </c>
      <c r="O161" s="20" t="b">
        <f t="shared" si="16"/>
        <v>1</v>
      </c>
      <c r="P161" t="b">
        <f t="shared" si="17"/>
        <v>1</v>
      </c>
    </row>
    <row r="162" spans="1:16" ht="15" customHeight="1" x14ac:dyDescent="0.3">
      <c r="A162" s="9" t="s">
        <v>271</v>
      </c>
      <c r="B162" s="21">
        <v>45942</v>
      </c>
      <c r="C162" s="15" t="s">
        <v>136</v>
      </c>
      <c r="D162" s="9" t="s">
        <v>67</v>
      </c>
      <c r="E162" s="9" t="s">
        <v>183</v>
      </c>
      <c r="F162" s="9">
        <v>19</v>
      </c>
      <c r="G162" s="10">
        <v>92000</v>
      </c>
      <c r="H162" s="10">
        <f t="shared" si="12"/>
        <v>1748000</v>
      </c>
      <c r="I162" s="9" t="s">
        <v>93</v>
      </c>
      <c r="J162" s="9" t="s">
        <v>115</v>
      </c>
      <c r="K162" t="str">
        <f t="shared" si="13"/>
        <v>October</v>
      </c>
      <c r="M162" t="b">
        <f t="shared" si="14"/>
        <v>1</v>
      </c>
      <c r="N162" s="20">
        <f t="shared" si="15"/>
        <v>92000</v>
      </c>
      <c r="O162" s="20" t="b">
        <f t="shared" si="16"/>
        <v>1</v>
      </c>
      <c r="P162" t="b">
        <f t="shared" si="17"/>
        <v>1</v>
      </c>
    </row>
    <row r="163" spans="1:16" ht="15" customHeight="1" x14ac:dyDescent="0.3">
      <c r="A163" s="9" t="s">
        <v>154</v>
      </c>
      <c r="B163" s="21">
        <v>45943</v>
      </c>
      <c r="C163" s="15" t="s">
        <v>136</v>
      </c>
      <c r="D163" s="9" t="s">
        <v>67</v>
      </c>
      <c r="E163" s="9" t="s">
        <v>95</v>
      </c>
      <c r="F163" s="9">
        <v>1</v>
      </c>
      <c r="G163" s="10">
        <v>102000</v>
      </c>
      <c r="H163" s="10">
        <f t="shared" si="12"/>
        <v>102000</v>
      </c>
      <c r="I163" s="9" t="s">
        <v>75</v>
      </c>
      <c r="J163" s="9" t="s">
        <v>70</v>
      </c>
      <c r="K163" t="str">
        <f t="shared" si="13"/>
        <v>October</v>
      </c>
      <c r="M163" t="b">
        <f t="shared" si="14"/>
        <v>1</v>
      </c>
      <c r="N163" s="20">
        <f t="shared" si="15"/>
        <v>102000</v>
      </c>
      <c r="O163" s="20" t="b">
        <f t="shared" si="16"/>
        <v>1</v>
      </c>
      <c r="P163" t="b">
        <f t="shared" si="17"/>
        <v>1</v>
      </c>
    </row>
    <row r="164" spans="1:16" ht="15" customHeight="1" x14ac:dyDescent="0.3">
      <c r="A164" s="9" t="s">
        <v>279</v>
      </c>
      <c r="B164" s="21">
        <v>45945</v>
      </c>
      <c r="C164" s="15" t="s">
        <v>107</v>
      </c>
      <c r="D164" s="9" t="s">
        <v>111</v>
      </c>
      <c r="E164" s="9" t="s">
        <v>148</v>
      </c>
      <c r="F164" s="9">
        <v>14</v>
      </c>
      <c r="G164" s="10">
        <v>61000</v>
      </c>
      <c r="H164" s="10">
        <f t="shared" si="12"/>
        <v>854000</v>
      </c>
      <c r="I164" s="9" t="s">
        <v>93</v>
      </c>
      <c r="J164" s="9" t="s">
        <v>70</v>
      </c>
      <c r="K164" t="str">
        <f t="shared" si="13"/>
        <v>October</v>
      </c>
      <c r="M164" t="b">
        <f t="shared" si="14"/>
        <v>1</v>
      </c>
      <c r="N164" s="20">
        <f t="shared" si="15"/>
        <v>61000</v>
      </c>
      <c r="O164" s="20" t="b">
        <f t="shared" si="16"/>
        <v>1</v>
      </c>
      <c r="P164" t="b">
        <f t="shared" si="17"/>
        <v>1</v>
      </c>
    </row>
    <row r="165" spans="1:16" ht="15" customHeight="1" x14ac:dyDescent="0.3">
      <c r="A165" s="9" t="s">
        <v>123</v>
      </c>
      <c r="B165" s="21">
        <v>45947</v>
      </c>
      <c r="C165" s="15" t="s">
        <v>91</v>
      </c>
      <c r="D165" s="9" t="s">
        <v>67</v>
      </c>
      <c r="E165" s="9" t="s">
        <v>117</v>
      </c>
      <c r="F165" s="9">
        <v>24</v>
      </c>
      <c r="G165" s="10">
        <v>197000</v>
      </c>
      <c r="H165" s="10">
        <f t="shared" si="12"/>
        <v>4728000</v>
      </c>
      <c r="I165" s="9" t="s">
        <v>89</v>
      </c>
      <c r="J165" s="9" t="s">
        <v>70</v>
      </c>
      <c r="K165" t="str">
        <f t="shared" si="13"/>
        <v>October</v>
      </c>
      <c r="M165" t="b">
        <f t="shared" si="14"/>
        <v>1</v>
      </c>
      <c r="N165" s="20">
        <f t="shared" si="15"/>
        <v>197000</v>
      </c>
      <c r="O165" s="20" t="b">
        <f t="shared" si="16"/>
        <v>1</v>
      </c>
      <c r="P165" t="b">
        <f t="shared" si="17"/>
        <v>1</v>
      </c>
    </row>
    <row r="166" spans="1:16" ht="15" customHeight="1" x14ac:dyDescent="0.3">
      <c r="A166" s="9" t="s">
        <v>317</v>
      </c>
      <c r="B166" s="21">
        <v>45947</v>
      </c>
      <c r="C166" s="15" t="s">
        <v>101</v>
      </c>
      <c r="D166" s="9" t="s">
        <v>111</v>
      </c>
      <c r="E166" s="9" t="s">
        <v>153</v>
      </c>
      <c r="F166" s="9">
        <v>5</v>
      </c>
      <c r="G166" s="10">
        <v>75000</v>
      </c>
      <c r="H166" s="10">
        <f t="shared" si="12"/>
        <v>375000</v>
      </c>
      <c r="I166" s="9" t="s">
        <v>75</v>
      </c>
      <c r="J166" s="9" t="s">
        <v>79</v>
      </c>
      <c r="K166" t="str">
        <f t="shared" si="13"/>
        <v>October</v>
      </c>
      <c r="M166" t="b">
        <f t="shared" si="14"/>
        <v>1</v>
      </c>
      <c r="N166" s="20">
        <f t="shared" si="15"/>
        <v>75000</v>
      </c>
      <c r="O166" s="20" t="b">
        <f t="shared" si="16"/>
        <v>1</v>
      </c>
      <c r="P166" t="b">
        <f t="shared" si="17"/>
        <v>1</v>
      </c>
    </row>
    <row r="167" spans="1:16" ht="15" customHeight="1" x14ac:dyDescent="0.3">
      <c r="A167" s="9" t="s">
        <v>160</v>
      </c>
      <c r="B167" s="21">
        <v>45949</v>
      </c>
      <c r="C167" s="15" t="s">
        <v>77</v>
      </c>
      <c r="D167" s="9" t="s">
        <v>104</v>
      </c>
      <c r="E167" s="9" t="s">
        <v>105</v>
      </c>
      <c r="F167" s="9">
        <v>20</v>
      </c>
      <c r="G167" s="10">
        <v>102000</v>
      </c>
      <c r="H167" s="10">
        <f t="shared" si="12"/>
        <v>2040000</v>
      </c>
      <c r="I167" s="9" t="s">
        <v>93</v>
      </c>
      <c r="J167" s="9" t="s">
        <v>70</v>
      </c>
      <c r="K167" t="str">
        <f t="shared" si="13"/>
        <v>October</v>
      </c>
      <c r="M167" t="b">
        <f t="shared" si="14"/>
        <v>1</v>
      </c>
      <c r="N167" s="20">
        <f t="shared" si="15"/>
        <v>102000</v>
      </c>
      <c r="O167" s="20" t="b">
        <f t="shared" si="16"/>
        <v>1</v>
      </c>
      <c r="P167" t="b">
        <f t="shared" si="17"/>
        <v>1</v>
      </c>
    </row>
    <row r="168" spans="1:16" ht="15" customHeight="1" x14ac:dyDescent="0.3">
      <c r="A168" s="9" t="s">
        <v>274</v>
      </c>
      <c r="B168" s="21">
        <v>45952</v>
      </c>
      <c r="C168" s="15" t="s">
        <v>84</v>
      </c>
      <c r="D168" s="9" t="s">
        <v>87</v>
      </c>
      <c r="E168" s="9" t="s">
        <v>88</v>
      </c>
      <c r="F168" s="9">
        <v>21</v>
      </c>
      <c r="G168" s="10">
        <v>160000</v>
      </c>
      <c r="H168" s="10">
        <f t="shared" si="12"/>
        <v>3360000</v>
      </c>
      <c r="I168" s="9" t="s">
        <v>82</v>
      </c>
      <c r="J168" s="9" t="s">
        <v>79</v>
      </c>
      <c r="K168" t="str">
        <f t="shared" si="13"/>
        <v>October</v>
      </c>
      <c r="M168" t="b">
        <f t="shared" si="14"/>
        <v>1</v>
      </c>
      <c r="N168" s="20">
        <f t="shared" si="15"/>
        <v>160000</v>
      </c>
      <c r="O168" s="20" t="b">
        <f t="shared" si="16"/>
        <v>1</v>
      </c>
      <c r="P168" t="b">
        <f t="shared" si="17"/>
        <v>1</v>
      </c>
    </row>
    <row r="169" spans="1:16" ht="15" customHeight="1" x14ac:dyDescent="0.3">
      <c r="A169" s="9" t="s">
        <v>304</v>
      </c>
      <c r="B169" s="21">
        <v>45954</v>
      </c>
      <c r="C169" s="15" t="s">
        <v>101</v>
      </c>
      <c r="D169" s="9" t="s">
        <v>111</v>
      </c>
      <c r="E169" s="9" t="s">
        <v>112</v>
      </c>
      <c r="F169" s="9">
        <v>15</v>
      </c>
      <c r="G169" s="10">
        <v>80000</v>
      </c>
      <c r="H169" s="10">
        <f t="shared" si="12"/>
        <v>1200000</v>
      </c>
      <c r="I169" s="9" t="s">
        <v>82</v>
      </c>
      <c r="J169" s="9" t="s">
        <v>79</v>
      </c>
      <c r="K169" t="str">
        <f t="shared" si="13"/>
        <v>October</v>
      </c>
      <c r="M169" t="b">
        <f t="shared" si="14"/>
        <v>1</v>
      </c>
      <c r="N169" s="20">
        <f t="shared" si="15"/>
        <v>80000</v>
      </c>
      <c r="O169" s="20" t="b">
        <f t="shared" si="16"/>
        <v>1</v>
      </c>
      <c r="P169" t="b">
        <f t="shared" si="17"/>
        <v>1</v>
      </c>
    </row>
    <row r="170" spans="1:16" ht="15" customHeight="1" x14ac:dyDescent="0.3">
      <c r="A170" s="9" t="s">
        <v>329</v>
      </c>
      <c r="B170" s="21">
        <v>45955</v>
      </c>
      <c r="C170" s="15" t="s">
        <v>136</v>
      </c>
      <c r="D170" s="9" t="s">
        <v>73</v>
      </c>
      <c r="E170" s="9" t="s">
        <v>102</v>
      </c>
      <c r="F170" s="9">
        <v>14</v>
      </c>
      <c r="G170" s="10">
        <v>78000</v>
      </c>
      <c r="H170" s="10">
        <f t="shared" si="12"/>
        <v>1092000</v>
      </c>
      <c r="I170" s="9" t="s">
        <v>75</v>
      </c>
      <c r="J170" s="9" t="s">
        <v>70</v>
      </c>
      <c r="K170" t="str">
        <f t="shared" si="13"/>
        <v>October</v>
      </c>
      <c r="M170" t="b">
        <f t="shared" si="14"/>
        <v>1</v>
      </c>
      <c r="N170" s="20">
        <f t="shared" si="15"/>
        <v>78000</v>
      </c>
      <c r="O170" s="20" t="b">
        <f t="shared" si="16"/>
        <v>1</v>
      </c>
      <c r="P170" t="b">
        <f t="shared" si="17"/>
        <v>1</v>
      </c>
    </row>
    <row r="171" spans="1:16" ht="15" customHeight="1" x14ac:dyDescent="0.3">
      <c r="A171" s="9" t="s">
        <v>144</v>
      </c>
      <c r="B171" s="21">
        <v>45958</v>
      </c>
      <c r="C171" s="15" t="s">
        <v>107</v>
      </c>
      <c r="D171" s="9" t="s">
        <v>104</v>
      </c>
      <c r="E171" s="9" t="s">
        <v>145</v>
      </c>
      <c r="F171" s="9">
        <v>22</v>
      </c>
      <c r="G171" s="10">
        <v>141000</v>
      </c>
      <c r="H171" s="10">
        <f t="shared" si="12"/>
        <v>3102000</v>
      </c>
      <c r="I171" s="9" t="s">
        <v>69</v>
      </c>
      <c r="J171" s="9" t="s">
        <v>115</v>
      </c>
      <c r="K171" t="str">
        <f t="shared" si="13"/>
        <v>October</v>
      </c>
      <c r="M171" t="b">
        <f t="shared" si="14"/>
        <v>1</v>
      </c>
      <c r="N171" s="20">
        <f t="shared" si="15"/>
        <v>141000</v>
      </c>
      <c r="O171" s="20" t="b">
        <f t="shared" si="16"/>
        <v>1</v>
      </c>
      <c r="P171" t="b">
        <f t="shared" si="17"/>
        <v>1</v>
      </c>
    </row>
    <row r="172" spans="1:16" ht="15" customHeight="1" x14ac:dyDescent="0.3">
      <c r="A172" s="9" t="s">
        <v>302</v>
      </c>
      <c r="B172" s="21">
        <v>45959</v>
      </c>
      <c r="C172" s="15" t="s">
        <v>107</v>
      </c>
      <c r="D172" s="9" t="s">
        <v>104</v>
      </c>
      <c r="E172" s="9" t="s">
        <v>145</v>
      </c>
      <c r="F172" s="9">
        <v>4</v>
      </c>
      <c r="G172" s="10">
        <v>76000</v>
      </c>
      <c r="H172" s="10">
        <f t="shared" si="12"/>
        <v>304000</v>
      </c>
      <c r="I172" s="9" t="s">
        <v>82</v>
      </c>
      <c r="J172" s="9" t="s">
        <v>70</v>
      </c>
      <c r="K172" t="str">
        <f t="shared" si="13"/>
        <v>October</v>
      </c>
      <c r="M172" t="b">
        <f t="shared" si="14"/>
        <v>1</v>
      </c>
      <c r="N172" s="20">
        <f t="shared" si="15"/>
        <v>76000</v>
      </c>
      <c r="O172" s="20" t="b">
        <f t="shared" si="16"/>
        <v>1</v>
      </c>
      <c r="P172" t="b">
        <f t="shared" si="17"/>
        <v>1</v>
      </c>
    </row>
    <row r="173" spans="1:16" ht="15" customHeight="1" x14ac:dyDescent="0.3">
      <c r="A173" s="9" t="s">
        <v>293</v>
      </c>
      <c r="B173" s="21">
        <v>45960</v>
      </c>
      <c r="C173" s="15" t="s">
        <v>120</v>
      </c>
      <c r="D173" s="9" t="s">
        <v>111</v>
      </c>
      <c r="E173" s="9" t="s">
        <v>148</v>
      </c>
      <c r="F173" s="9">
        <v>3</v>
      </c>
      <c r="G173" s="10">
        <v>72000</v>
      </c>
      <c r="H173" s="10">
        <f t="shared" si="12"/>
        <v>216000</v>
      </c>
      <c r="I173" s="9" t="s">
        <v>75</v>
      </c>
      <c r="J173" s="9" t="s">
        <v>79</v>
      </c>
      <c r="K173" t="str">
        <f t="shared" si="13"/>
        <v>October</v>
      </c>
      <c r="M173" t="b">
        <f t="shared" si="14"/>
        <v>1</v>
      </c>
      <c r="N173" s="20">
        <f t="shared" si="15"/>
        <v>72000</v>
      </c>
      <c r="O173" s="20" t="b">
        <f t="shared" si="16"/>
        <v>1</v>
      </c>
      <c r="P173" t="b">
        <f t="shared" si="17"/>
        <v>1</v>
      </c>
    </row>
    <row r="174" spans="1:16" ht="15" customHeight="1" x14ac:dyDescent="0.3">
      <c r="A174" s="9" t="s">
        <v>142</v>
      </c>
      <c r="B174" s="21">
        <v>45963</v>
      </c>
      <c r="C174" s="15" t="s">
        <v>72</v>
      </c>
      <c r="D174" s="9" t="s">
        <v>104</v>
      </c>
      <c r="E174" s="9" t="s">
        <v>105</v>
      </c>
      <c r="F174" s="9">
        <v>17</v>
      </c>
      <c r="G174" s="10">
        <v>92000</v>
      </c>
      <c r="H174" s="10">
        <f t="shared" si="12"/>
        <v>1564000</v>
      </c>
      <c r="I174" s="9" t="s">
        <v>93</v>
      </c>
      <c r="J174" s="9" t="s">
        <v>79</v>
      </c>
      <c r="K174" t="str">
        <f t="shared" si="13"/>
        <v>November</v>
      </c>
      <c r="M174" t="b">
        <f t="shared" si="14"/>
        <v>1</v>
      </c>
      <c r="N174" s="20">
        <f t="shared" si="15"/>
        <v>92000</v>
      </c>
      <c r="O174" s="20" t="b">
        <f t="shared" si="16"/>
        <v>1</v>
      </c>
      <c r="P174" t="b">
        <f t="shared" si="17"/>
        <v>1</v>
      </c>
    </row>
    <row r="175" spans="1:16" ht="15" customHeight="1" x14ac:dyDescent="0.3">
      <c r="A175" s="9" t="s">
        <v>170</v>
      </c>
      <c r="B175" s="21">
        <v>45964</v>
      </c>
      <c r="C175" s="15" t="s">
        <v>107</v>
      </c>
      <c r="D175" s="9" t="s">
        <v>87</v>
      </c>
      <c r="E175" s="9" t="s">
        <v>140</v>
      </c>
      <c r="F175" s="9">
        <v>9</v>
      </c>
      <c r="G175" s="10">
        <v>151000</v>
      </c>
      <c r="H175" s="10">
        <f t="shared" si="12"/>
        <v>1359000</v>
      </c>
      <c r="I175" s="9" t="s">
        <v>69</v>
      </c>
      <c r="J175" s="9" t="s">
        <v>70</v>
      </c>
      <c r="K175" t="str">
        <f t="shared" si="13"/>
        <v>November</v>
      </c>
      <c r="M175" t="b">
        <f t="shared" si="14"/>
        <v>1</v>
      </c>
      <c r="N175" s="20">
        <f t="shared" si="15"/>
        <v>151000</v>
      </c>
      <c r="O175" s="20" t="b">
        <f t="shared" si="16"/>
        <v>1</v>
      </c>
      <c r="P175" t="b">
        <f t="shared" si="17"/>
        <v>1</v>
      </c>
    </row>
    <row r="176" spans="1:16" ht="15" customHeight="1" x14ac:dyDescent="0.3">
      <c r="A176" s="9" t="s">
        <v>237</v>
      </c>
      <c r="B176" s="21">
        <v>45965</v>
      </c>
      <c r="C176" s="15" t="s">
        <v>72</v>
      </c>
      <c r="D176" s="9" t="s">
        <v>111</v>
      </c>
      <c r="E176" s="9" t="s">
        <v>114</v>
      </c>
      <c r="F176" s="9">
        <v>19</v>
      </c>
      <c r="G176" s="10">
        <v>34000</v>
      </c>
      <c r="H176" s="10">
        <f t="shared" si="12"/>
        <v>646000</v>
      </c>
      <c r="I176" s="9" t="s">
        <v>69</v>
      </c>
      <c r="J176" s="9" t="s">
        <v>70</v>
      </c>
      <c r="K176" t="str">
        <f t="shared" si="13"/>
        <v>November</v>
      </c>
      <c r="M176" t="b">
        <f t="shared" si="14"/>
        <v>1</v>
      </c>
      <c r="N176" s="20">
        <f t="shared" si="15"/>
        <v>34000</v>
      </c>
      <c r="O176" s="20" t="b">
        <f t="shared" si="16"/>
        <v>1</v>
      </c>
      <c r="P176" t="b">
        <f t="shared" si="17"/>
        <v>1</v>
      </c>
    </row>
    <row r="177" spans="1:16" ht="15" customHeight="1" x14ac:dyDescent="0.3">
      <c r="A177" s="9" t="s">
        <v>312</v>
      </c>
      <c r="B177" s="21">
        <v>45966</v>
      </c>
      <c r="C177" s="15" t="s">
        <v>98</v>
      </c>
      <c r="D177" s="9" t="s">
        <v>67</v>
      </c>
      <c r="E177" s="9" t="s">
        <v>117</v>
      </c>
      <c r="F177" s="9">
        <v>25</v>
      </c>
      <c r="G177" s="10">
        <v>195000</v>
      </c>
      <c r="H177" s="10">
        <f t="shared" si="12"/>
        <v>4875000</v>
      </c>
      <c r="I177" s="9" t="s">
        <v>93</v>
      </c>
      <c r="J177" s="9" t="s">
        <v>70</v>
      </c>
      <c r="K177" t="str">
        <f t="shared" si="13"/>
        <v>November</v>
      </c>
      <c r="M177" t="b">
        <f t="shared" si="14"/>
        <v>1</v>
      </c>
      <c r="N177" s="20">
        <f t="shared" si="15"/>
        <v>195000</v>
      </c>
      <c r="O177" s="20" t="b">
        <f t="shared" si="16"/>
        <v>1</v>
      </c>
      <c r="P177" t="b">
        <f t="shared" si="17"/>
        <v>1</v>
      </c>
    </row>
    <row r="178" spans="1:16" ht="15" customHeight="1" x14ac:dyDescent="0.3">
      <c r="A178" s="9" t="s">
        <v>294</v>
      </c>
      <c r="B178" s="21">
        <v>45967</v>
      </c>
      <c r="C178" s="15" t="s">
        <v>72</v>
      </c>
      <c r="D178" s="9" t="s">
        <v>67</v>
      </c>
      <c r="E178" s="9" t="s">
        <v>68</v>
      </c>
      <c r="F178" s="9">
        <v>15</v>
      </c>
      <c r="G178" s="10">
        <v>172000</v>
      </c>
      <c r="H178" s="10">
        <f t="shared" si="12"/>
        <v>2580000</v>
      </c>
      <c r="I178" s="9" t="s">
        <v>75</v>
      </c>
      <c r="J178" s="9" t="s">
        <v>79</v>
      </c>
      <c r="K178" t="str">
        <f t="shared" si="13"/>
        <v>November</v>
      </c>
      <c r="M178" t="b">
        <f t="shared" si="14"/>
        <v>1</v>
      </c>
      <c r="N178" s="20">
        <f t="shared" si="15"/>
        <v>172000</v>
      </c>
      <c r="O178" s="20" t="b">
        <f t="shared" si="16"/>
        <v>1</v>
      </c>
      <c r="P178" t="b">
        <f t="shared" si="17"/>
        <v>1</v>
      </c>
    </row>
    <row r="179" spans="1:16" ht="15" customHeight="1" x14ac:dyDescent="0.3">
      <c r="A179" s="9" t="s">
        <v>156</v>
      </c>
      <c r="B179" s="21">
        <v>45968</v>
      </c>
      <c r="C179" s="15" t="s">
        <v>136</v>
      </c>
      <c r="D179" s="9" t="s">
        <v>73</v>
      </c>
      <c r="E179" s="9" t="s">
        <v>74</v>
      </c>
      <c r="F179" s="9">
        <v>25</v>
      </c>
      <c r="G179" s="10">
        <v>51000</v>
      </c>
      <c r="H179" s="10">
        <f t="shared" si="12"/>
        <v>1275000</v>
      </c>
      <c r="I179" s="9" t="s">
        <v>93</v>
      </c>
      <c r="J179" s="9" t="s">
        <v>79</v>
      </c>
      <c r="K179" t="str">
        <f t="shared" si="13"/>
        <v>November</v>
      </c>
      <c r="M179" t="b">
        <f t="shared" si="14"/>
        <v>1</v>
      </c>
      <c r="N179" s="20">
        <f t="shared" si="15"/>
        <v>51000</v>
      </c>
      <c r="O179" s="20" t="b">
        <f t="shared" si="16"/>
        <v>1</v>
      </c>
      <c r="P179" t="b">
        <f t="shared" si="17"/>
        <v>1</v>
      </c>
    </row>
    <row r="180" spans="1:16" ht="15" customHeight="1" x14ac:dyDescent="0.3">
      <c r="A180" s="9" t="s">
        <v>314</v>
      </c>
      <c r="B180" s="21">
        <v>45972</v>
      </c>
      <c r="C180" s="15" t="s">
        <v>107</v>
      </c>
      <c r="D180" s="9" t="s">
        <v>67</v>
      </c>
      <c r="E180" s="9" t="s">
        <v>131</v>
      </c>
      <c r="F180" s="9">
        <v>21</v>
      </c>
      <c r="G180" s="10">
        <v>78000</v>
      </c>
      <c r="H180" s="10">
        <f t="shared" si="12"/>
        <v>1638000</v>
      </c>
      <c r="I180" s="9" t="s">
        <v>93</v>
      </c>
      <c r="J180" s="9" t="s">
        <v>70</v>
      </c>
      <c r="K180" t="str">
        <f t="shared" si="13"/>
        <v>November</v>
      </c>
      <c r="M180" t="b">
        <f t="shared" si="14"/>
        <v>1</v>
      </c>
      <c r="N180" s="20">
        <f t="shared" si="15"/>
        <v>78000</v>
      </c>
      <c r="O180" s="20" t="b">
        <f t="shared" si="16"/>
        <v>1</v>
      </c>
      <c r="P180" t="b">
        <f t="shared" si="17"/>
        <v>1</v>
      </c>
    </row>
    <row r="181" spans="1:16" ht="15" customHeight="1" x14ac:dyDescent="0.3">
      <c r="A181" s="9" t="s">
        <v>201</v>
      </c>
      <c r="B181" s="21">
        <v>45974</v>
      </c>
      <c r="C181" s="15" t="s">
        <v>136</v>
      </c>
      <c r="D181" s="9" t="s">
        <v>104</v>
      </c>
      <c r="E181" s="9" t="s">
        <v>122</v>
      </c>
      <c r="F181" s="9">
        <v>23</v>
      </c>
      <c r="G181" s="10">
        <v>128000</v>
      </c>
      <c r="H181" s="10">
        <f t="shared" si="12"/>
        <v>2944000</v>
      </c>
      <c r="I181" s="9" t="s">
        <v>75</v>
      </c>
      <c r="J181" s="9" t="s">
        <v>115</v>
      </c>
      <c r="K181" t="str">
        <f t="shared" si="13"/>
        <v>November</v>
      </c>
      <c r="M181" t="b">
        <f t="shared" si="14"/>
        <v>1</v>
      </c>
      <c r="N181" s="20">
        <f t="shared" si="15"/>
        <v>128000</v>
      </c>
      <c r="O181" s="20" t="b">
        <f t="shared" si="16"/>
        <v>1</v>
      </c>
      <c r="P181" t="b">
        <f t="shared" si="17"/>
        <v>1</v>
      </c>
    </row>
    <row r="182" spans="1:16" ht="15" customHeight="1" x14ac:dyDescent="0.3">
      <c r="A182" s="9" t="s">
        <v>76</v>
      </c>
      <c r="B182" s="21">
        <v>45975</v>
      </c>
      <c r="C182" s="15" t="s">
        <v>77</v>
      </c>
      <c r="D182" s="9" t="s">
        <v>73</v>
      </c>
      <c r="E182" s="9" t="s">
        <v>78</v>
      </c>
      <c r="F182" s="9">
        <v>8</v>
      </c>
      <c r="G182" s="10">
        <v>52000</v>
      </c>
      <c r="H182" s="10">
        <f t="shared" si="12"/>
        <v>416000</v>
      </c>
      <c r="I182" s="9" t="s">
        <v>69</v>
      </c>
      <c r="J182" s="9" t="s">
        <v>79</v>
      </c>
      <c r="K182" t="str">
        <f t="shared" si="13"/>
        <v>November</v>
      </c>
      <c r="M182" t="b">
        <f t="shared" si="14"/>
        <v>1</v>
      </c>
      <c r="N182" s="20">
        <f t="shared" si="15"/>
        <v>52000</v>
      </c>
      <c r="O182" s="20" t="b">
        <f t="shared" si="16"/>
        <v>1</v>
      </c>
      <c r="P182" t="b">
        <f t="shared" si="17"/>
        <v>1</v>
      </c>
    </row>
    <row r="183" spans="1:16" ht="15" customHeight="1" x14ac:dyDescent="0.3">
      <c r="A183" s="9" t="s">
        <v>232</v>
      </c>
      <c r="B183" s="21">
        <v>45978</v>
      </c>
      <c r="C183" s="15" t="s">
        <v>101</v>
      </c>
      <c r="D183" s="9" t="s">
        <v>87</v>
      </c>
      <c r="E183" s="9" t="s">
        <v>177</v>
      </c>
      <c r="F183" s="9">
        <v>4</v>
      </c>
      <c r="G183" s="10">
        <v>102000</v>
      </c>
      <c r="H183" s="10">
        <f t="shared" si="12"/>
        <v>408000</v>
      </c>
      <c r="I183" s="9" t="s">
        <v>75</v>
      </c>
      <c r="J183" s="9" t="s">
        <v>79</v>
      </c>
      <c r="K183" t="str">
        <f t="shared" si="13"/>
        <v>November</v>
      </c>
      <c r="M183" t="b">
        <f t="shared" si="14"/>
        <v>1</v>
      </c>
      <c r="N183" s="20">
        <f t="shared" si="15"/>
        <v>102000</v>
      </c>
      <c r="O183" s="20" t="b">
        <f t="shared" si="16"/>
        <v>1</v>
      </c>
      <c r="P183" t="b">
        <f t="shared" si="17"/>
        <v>1</v>
      </c>
    </row>
    <row r="184" spans="1:16" ht="15" customHeight="1" x14ac:dyDescent="0.3">
      <c r="A184" s="9" t="s">
        <v>66</v>
      </c>
      <c r="B184" s="21">
        <v>45979</v>
      </c>
      <c r="C184" s="15" t="s">
        <v>77</v>
      </c>
      <c r="D184" s="9" t="s">
        <v>67</v>
      </c>
      <c r="E184" s="9" t="s">
        <v>68</v>
      </c>
      <c r="F184" s="9">
        <v>25</v>
      </c>
      <c r="G184" s="10">
        <v>112000</v>
      </c>
      <c r="H184" s="10">
        <f t="shared" si="12"/>
        <v>2800000</v>
      </c>
      <c r="I184" s="9" t="s">
        <v>69</v>
      </c>
      <c r="J184" s="9" t="s">
        <v>70</v>
      </c>
      <c r="K184" t="str">
        <f t="shared" si="13"/>
        <v>November</v>
      </c>
      <c r="M184" t="b">
        <f t="shared" si="14"/>
        <v>1</v>
      </c>
      <c r="N184" s="20">
        <f t="shared" si="15"/>
        <v>112000</v>
      </c>
      <c r="O184" s="20" t="b">
        <f t="shared" si="16"/>
        <v>1</v>
      </c>
      <c r="P184" t="b">
        <f t="shared" si="17"/>
        <v>1</v>
      </c>
    </row>
    <row r="185" spans="1:16" ht="15" customHeight="1" x14ac:dyDescent="0.3">
      <c r="A185" s="9" t="s">
        <v>134</v>
      </c>
      <c r="B185" s="21">
        <v>45979</v>
      </c>
      <c r="C185" s="15" t="s">
        <v>120</v>
      </c>
      <c r="D185" s="9" t="s">
        <v>111</v>
      </c>
      <c r="E185" s="9" t="s">
        <v>112</v>
      </c>
      <c r="F185" s="9">
        <v>2</v>
      </c>
      <c r="G185" s="10">
        <v>108000</v>
      </c>
      <c r="H185" s="10">
        <f t="shared" si="12"/>
        <v>216000</v>
      </c>
      <c r="I185" s="9" t="s">
        <v>75</v>
      </c>
      <c r="J185" s="9" t="s">
        <v>70</v>
      </c>
      <c r="K185" t="str">
        <f t="shared" si="13"/>
        <v>November</v>
      </c>
      <c r="M185" t="b">
        <f t="shared" si="14"/>
        <v>1</v>
      </c>
      <c r="N185" s="20">
        <f t="shared" si="15"/>
        <v>108000</v>
      </c>
      <c r="O185" s="20" t="b">
        <f t="shared" si="16"/>
        <v>1</v>
      </c>
      <c r="P185" t="b">
        <f t="shared" si="17"/>
        <v>1</v>
      </c>
    </row>
    <row r="186" spans="1:16" ht="15" customHeight="1" x14ac:dyDescent="0.3">
      <c r="A186" s="9" t="s">
        <v>208</v>
      </c>
      <c r="B186" s="21">
        <v>45983</v>
      </c>
      <c r="C186" s="15" t="s">
        <v>81</v>
      </c>
      <c r="D186" s="9" t="s">
        <v>87</v>
      </c>
      <c r="E186" s="9" t="s">
        <v>177</v>
      </c>
      <c r="F186" s="9">
        <v>6</v>
      </c>
      <c r="G186" s="10">
        <v>178000</v>
      </c>
      <c r="H186" s="10">
        <f t="shared" si="12"/>
        <v>1068000</v>
      </c>
      <c r="I186" s="9" t="s">
        <v>93</v>
      </c>
      <c r="J186" s="9" t="s">
        <v>79</v>
      </c>
      <c r="K186" t="str">
        <f t="shared" si="13"/>
        <v>November</v>
      </c>
      <c r="M186" t="b">
        <f t="shared" si="14"/>
        <v>1</v>
      </c>
      <c r="N186" s="20">
        <f t="shared" si="15"/>
        <v>178000</v>
      </c>
      <c r="O186" s="20" t="b">
        <f t="shared" si="16"/>
        <v>1</v>
      </c>
      <c r="P186" t="b">
        <f t="shared" si="17"/>
        <v>1</v>
      </c>
    </row>
    <row r="187" spans="1:16" ht="15" customHeight="1" x14ac:dyDescent="0.3">
      <c r="A187" s="9" t="s">
        <v>147</v>
      </c>
      <c r="B187" s="21">
        <v>45984</v>
      </c>
      <c r="C187" s="15" t="s">
        <v>91</v>
      </c>
      <c r="D187" s="9" t="s">
        <v>111</v>
      </c>
      <c r="E187" s="9" t="s">
        <v>148</v>
      </c>
      <c r="F187" s="9">
        <v>24</v>
      </c>
      <c r="G187" s="10">
        <v>18000</v>
      </c>
      <c r="H187" s="10">
        <f t="shared" si="12"/>
        <v>432000</v>
      </c>
      <c r="I187" s="9" t="s">
        <v>93</v>
      </c>
      <c r="J187" s="9" t="s">
        <v>79</v>
      </c>
      <c r="K187" t="str">
        <f t="shared" si="13"/>
        <v>November</v>
      </c>
      <c r="M187" t="b">
        <f t="shared" si="14"/>
        <v>1</v>
      </c>
      <c r="N187" s="20">
        <f t="shared" si="15"/>
        <v>18000</v>
      </c>
      <c r="O187" s="20" t="b">
        <f t="shared" si="16"/>
        <v>1</v>
      </c>
      <c r="P187" t="b">
        <f t="shared" si="17"/>
        <v>1</v>
      </c>
    </row>
    <row r="188" spans="1:16" ht="15" customHeight="1" x14ac:dyDescent="0.3">
      <c r="A188" s="9" t="s">
        <v>135</v>
      </c>
      <c r="B188" s="21">
        <v>45984</v>
      </c>
      <c r="C188" s="15" t="s">
        <v>136</v>
      </c>
      <c r="D188" s="9" t="s">
        <v>67</v>
      </c>
      <c r="E188" s="9" t="s">
        <v>68</v>
      </c>
      <c r="F188" s="9">
        <v>8</v>
      </c>
      <c r="G188" s="10">
        <v>155000</v>
      </c>
      <c r="H188" s="10">
        <f t="shared" si="12"/>
        <v>1240000</v>
      </c>
      <c r="I188" s="9" t="s">
        <v>93</v>
      </c>
      <c r="J188" s="9" t="s">
        <v>70</v>
      </c>
      <c r="K188" t="str">
        <f t="shared" si="13"/>
        <v>November</v>
      </c>
      <c r="M188" t="b">
        <f t="shared" si="14"/>
        <v>1</v>
      </c>
      <c r="N188" s="20">
        <f t="shared" si="15"/>
        <v>155000</v>
      </c>
      <c r="O188" s="20" t="b">
        <f t="shared" si="16"/>
        <v>1</v>
      </c>
      <c r="P188" t="b">
        <f t="shared" si="17"/>
        <v>1</v>
      </c>
    </row>
    <row r="189" spans="1:16" ht="15" customHeight="1" x14ac:dyDescent="0.3">
      <c r="A189" s="9" t="s">
        <v>223</v>
      </c>
      <c r="B189" s="21">
        <v>45985</v>
      </c>
      <c r="C189" s="15" t="s">
        <v>107</v>
      </c>
      <c r="D189" s="9" t="s">
        <v>87</v>
      </c>
      <c r="E189" s="9" t="s">
        <v>88</v>
      </c>
      <c r="F189" s="9">
        <v>25</v>
      </c>
      <c r="G189" s="10">
        <v>59000</v>
      </c>
      <c r="H189" s="10">
        <f t="shared" si="12"/>
        <v>1475000</v>
      </c>
      <c r="I189" s="9" t="s">
        <v>75</v>
      </c>
      <c r="J189" s="9" t="s">
        <v>70</v>
      </c>
      <c r="K189" t="str">
        <f t="shared" si="13"/>
        <v>November</v>
      </c>
      <c r="M189" t="b">
        <f t="shared" si="14"/>
        <v>1</v>
      </c>
      <c r="N189" s="20">
        <f t="shared" si="15"/>
        <v>59000</v>
      </c>
      <c r="O189" s="20" t="b">
        <f t="shared" si="16"/>
        <v>1</v>
      </c>
      <c r="P189" t="b">
        <f t="shared" si="17"/>
        <v>1</v>
      </c>
    </row>
    <row r="190" spans="1:16" ht="15" customHeight="1" x14ac:dyDescent="0.3">
      <c r="A190" s="9" t="s">
        <v>310</v>
      </c>
      <c r="B190" s="21">
        <v>45985</v>
      </c>
      <c r="C190" s="15" t="s">
        <v>84</v>
      </c>
      <c r="D190" s="9" t="s">
        <v>67</v>
      </c>
      <c r="E190" s="9" t="s">
        <v>68</v>
      </c>
      <c r="F190" s="9">
        <v>9</v>
      </c>
      <c r="G190" s="10">
        <v>97000</v>
      </c>
      <c r="H190" s="10">
        <f t="shared" si="12"/>
        <v>873000</v>
      </c>
      <c r="I190" s="9" t="s">
        <v>93</v>
      </c>
      <c r="J190" s="9" t="s">
        <v>70</v>
      </c>
      <c r="K190" t="str">
        <f t="shared" si="13"/>
        <v>November</v>
      </c>
      <c r="M190" t="b">
        <f t="shared" si="14"/>
        <v>1</v>
      </c>
      <c r="N190" s="20">
        <f t="shared" si="15"/>
        <v>97000</v>
      </c>
      <c r="O190" s="20" t="b">
        <f t="shared" si="16"/>
        <v>1</v>
      </c>
      <c r="P190" t="b">
        <f t="shared" si="17"/>
        <v>1</v>
      </c>
    </row>
    <row r="191" spans="1:16" ht="15" customHeight="1" x14ac:dyDescent="0.3">
      <c r="A191" s="9" t="s">
        <v>143</v>
      </c>
      <c r="B191" s="21">
        <v>45985</v>
      </c>
      <c r="C191" s="15" t="s">
        <v>120</v>
      </c>
      <c r="D191" s="9" t="s">
        <v>73</v>
      </c>
      <c r="E191" s="9" t="s">
        <v>102</v>
      </c>
      <c r="F191" s="9">
        <v>21</v>
      </c>
      <c r="G191" s="10">
        <v>71000</v>
      </c>
      <c r="H191" s="10">
        <f t="shared" si="12"/>
        <v>1491000</v>
      </c>
      <c r="I191" s="9" t="s">
        <v>89</v>
      </c>
      <c r="J191" s="9" t="s">
        <v>70</v>
      </c>
      <c r="K191" t="str">
        <f t="shared" si="13"/>
        <v>November</v>
      </c>
      <c r="M191" t="b">
        <f t="shared" si="14"/>
        <v>1</v>
      </c>
      <c r="N191" s="20">
        <f t="shared" si="15"/>
        <v>71000</v>
      </c>
      <c r="O191" s="20" t="b">
        <f t="shared" si="16"/>
        <v>1</v>
      </c>
      <c r="P191" t="b">
        <f t="shared" si="17"/>
        <v>1</v>
      </c>
    </row>
    <row r="192" spans="1:16" ht="15" customHeight="1" x14ac:dyDescent="0.3">
      <c r="A192" s="9" t="s">
        <v>224</v>
      </c>
      <c r="B192" s="21">
        <v>45987</v>
      </c>
      <c r="C192" s="15" t="s">
        <v>120</v>
      </c>
      <c r="D192" s="9" t="s">
        <v>67</v>
      </c>
      <c r="E192" s="9" t="s">
        <v>95</v>
      </c>
      <c r="F192" s="9">
        <v>13</v>
      </c>
      <c r="G192" s="10">
        <v>144000</v>
      </c>
      <c r="H192" s="10">
        <f t="shared" si="12"/>
        <v>1872000</v>
      </c>
      <c r="I192" s="9" t="s">
        <v>69</v>
      </c>
      <c r="J192" s="9" t="s">
        <v>70</v>
      </c>
      <c r="K192" t="str">
        <f t="shared" si="13"/>
        <v>November</v>
      </c>
      <c r="M192" t="b">
        <f t="shared" si="14"/>
        <v>1</v>
      </c>
      <c r="N192" s="20">
        <f t="shared" si="15"/>
        <v>144000</v>
      </c>
      <c r="O192" s="20" t="b">
        <f t="shared" si="16"/>
        <v>1</v>
      </c>
      <c r="P192" t="b">
        <f t="shared" si="17"/>
        <v>1</v>
      </c>
    </row>
    <row r="193" spans="1:16" ht="15" customHeight="1" x14ac:dyDescent="0.3">
      <c r="A193" s="9" t="s">
        <v>221</v>
      </c>
      <c r="B193" s="21">
        <v>45988</v>
      </c>
      <c r="C193" s="15" t="s">
        <v>91</v>
      </c>
      <c r="D193" s="9" t="s">
        <v>111</v>
      </c>
      <c r="E193" s="9" t="s">
        <v>112</v>
      </c>
      <c r="F193" s="9">
        <v>15</v>
      </c>
      <c r="G193" s="10">
        <v>25000</v>
      </c>
      <c r="H193" s="10">
        <f t="shared" si="12"/>
        <v>375000</v>
      </c>
      <c r="I193" s="9" t="s">
        <v>75</v>
      </c>
      <c r="J193" s="9" t="s">
        <v>70</v>
      </c>
      <c r="K193" t="str">
        <f t="shared" si="13"/>
        <v>November</v>
      </c>
      <c r="M193" t="b">
        <f t="shared" si="14"/>
        <v>1</v>
      </c>
      <c r="N193" s="20">
        <f t="shared" si="15"/>
        <v>25000</v>
      </c>
      <c r="O193" s="20" t="b">
        <f t="shared" si="16"/>
        <v>1</v>
      </c>
      <c r="P193" t="b">
        <f t="shared" si="17"/>
        <v>1</v>
      </c>
    </row>
    <row r="194" spans="1:16" ht="15" customHeight="1" x14ac:dyDescent="0.3">
      <c r="A194" s="9" t="s">
        <v>243</v>
      </c>
      <c r="B194" s="21">
        <v>45990</v>
      </c>
      <c r="C194" s="15" t="s">
        <v>72</v>
      </c>
      <c r="D194" s="9" t="s">
        <v>87</v>
      </c>
      <c r="E194" s="9" t="s">
        <v>140</v>
      </c>
      <c r="F194" s="9">
        <v>1</v>
      </c>
      <c r="G194" s="10">
        <v>92000</v>
      </c>
      <c r="H194" s="10">
        <f t="shared" ref="H194:H257" si="18">F194*G194</f>
        <v>92000</v>
      </c>
      <c r="I194" s="9" t="s">
        <v>93</v>
      </c>
      <c r="J194" s="9" t="s">
        <v>70</v>
      </c>
      <c r="K194" t="str">
        <f t="shared" ref="K194:K221" si="19">TEXT(B194,"MMMM")</f>
        <v>November</v>
      </c>
      <c r="M194" t="b">
        <f t="shared" si="14"/>
        <v>1</v>
      </c>
      <c r="N194" s="20">
        <f t="shared" si="15"/>
        <v>92000</v>
      </c>
      <c r="O194" s="20" t="b">
        <f t="shared" si="16"/>
        <v>1</v>
      </c>
      <c r="P194" t="b">
        <f t="shared" si="17"/>
        <v>1</v>
      </c>
    </row>
    <row r="195" spans="1:16" ht="15" customHeight="1" x14ac:dyDescent="0.3">
      <c r="A195" s="9" t="s">
        <v>215</v>
      </c>
      <c r="B195" s="21">
        <v>45991</v>
      </c>
      <c r="C195" s="16" t="s">
        <v>335</v>
      </c>
      <c r="D195" s="9" t="s">
        <v>111</v>
      </c>
      <c r="E195" s="9" t="s">
        <v>173</v>
      </c>
      <c r="F195" s="9">
        <v>19</v>
      </c>
      <c r="G195" s="10">
        <v>26000</v>
      </c>
      <c r="H195" s="10">
        <f t="shared" si="18"/>
        <v>494000</v>
      </c>
      <c r="I195" s="9" t="s">
        <v>89</v>
      </c>
      <c r="J195" s="9" t="s">
        <v>70</v>
      </c>
      <c r="K195" t="str">
        <f t="shared" si="19"/>
        <v>November</v>
      </c>
      <c r="M195" t="b">
        <f t="shared" ref="M195:M221" si="20">ISNUMBER(F195)</f>
        <v>1</v>
      </c>
      <c r="N195" s="20">
        <f t="shared" ref="N195:N221" si="21">VALUE(SUBSTITUTE(SUBSTITUTE(G195,"Rp",""),",",""))</f>
        <v>26000</v>
      </c>
      <c r="O195" s="20" t="b">
        <f t="shared" ref="O195:O221" si="22">AND(B195&gt;=DATE(2025,1,1), B195&lt;=DATE(2025,12,31))</f>
        <v>1</v>
      </c>
      <c r="P195" t="b">
        <f t="shared" ref="P195:P221" si="23">ROUND(F195*G195,0)=ROUND(H195,0)</f>
        <v>1</v>
      </c>
    </row>
    <row r="196" spans="1:16" ht="15" customHeight="1" x14ac:dyDescent="0.3">
      <c r="A196" s="9" t="s">
        <v>139</v>
      </c>
      <c r="B196" s="21">
        <v>45992</v>
      </c>
      <c r="C196" s="15" t="s">
        <v>136</v>
      </c>
      <c r="D196" s="9" t="s">
        <v>87</v>
      </c>
      <c r="E196" s="9" t="s">
        <v>140</v>
      </c>
      <c r="F196" s="9">
        <v>22</v>
      </c>
      <c r="G196" s="10">
        <v>164000</v>
      </c>
      <c r="H196" s="10">
        <f t="shared" si="18"/>
        <v>3608000</v>
      </c>
      <c r="I196" s="9" t="s">
        <v>93</v>
      </c>
      <c r="J196" s="9" t="s">
        <v>115</v>
      </c>
      <c r="K196" t="str">
        <f t="shared" si="19"/>
        <v>December</v>
      </c>
      <c r="M196" t="b">
        <f t="shared" si="20"/>
        <v>1</v>
      </c>
      <c r="N196" s="20">
        <f t="shared" si="21"/>
        <v>164000</v>
      </c>
      <c r="O196" s="20" t="b">
        <f t="shared" si="22"/>
        <v>1</v>
      </c>
      <c r="P196" t="b">
        <f t="shared" si="23"/>
        <v>1</v>
      </c>
    </row>
    <row r="197" spans="1:16" ht="15" customHeight="1" x14ac:dyDescent="0.3">
      <c r="A197" s="9" t="s">
        <v>268</v>
      </c>
      <c r="B197" s="21">
        <v>45992</v>
      </c>
      <c r="C197" s="15" t="s">
        <v>81</v>
      </c>
      <c r="D197" s="9" t="s">
        <v>111</v>
      </c>
      <c r="E197" s="9" t="s">
        <v>148</v>
      </c>
      <c r="F197" s="9">
        <v>1</v>
      </c>
      <c r="G197" s="10">
        <v>32000</v>
      </c>
      <c r="H197" s="10">
        <f t="shared" si="18"/>
        <v>32000</v>
      </c>
      <c r="I197" s="9" t="s">
        <v>75</v>
      </c>
      <c r="J197" s="9" t="s">
        <v>79</v>
      </c>
      <c r="K197" t="str">
        <f t="shared" si="19"/>
        <v>December</v>
      </c>
      <c r="M197" t="b">
        <f t="shared" si="20"/>
        <v>1</v>
      </c>
      <c r="N197" s="20">
        <f t="shared" si="21"/>
        <v>32000</v>
      </c>
      <c r="O197" s="20" t="b">
        <f t="shared" si="22"/>
        <v>1</v>
      </c>
      <c r="P197" t="b">
        <f t="shared" si="23"/>
        <v>1</v>
      </c>
    </row>
    <row r="198" spans="1:16" ht="15" customHeight="1" x14ac:dyDescent="0.3">
      <c r="A198" s="9" t="s">
        <v>303</v>
      </c>
      <c r="B198" s="21">
        <v>45993</v>
      </c>
      <c r="C198" s="15" t="s">
        <v>101</v>
      </c>
      <c r="D198" s="9" t="s">
        <v>104</v>
      </c>
      <c r="E198" s="9" t="s">
        <v>122</v>
      </c>
      <c r="F198" s="9">
        <v>24</v>
      </c>
      <c r="G198" s="10">
        <v>110000</v>
      </c>
      <c r="H198" s="10">
        <f t="shared" si="18"/>
        <v>2640000</v>
      </c>
      <c r="I198" s="9" t="s">
        <v>93</v>
      </c>
      <c r="J198" s="9" t="s">
        <v>79</v>
      </c>
      <c r="K198" t="str">
        <f t="shared" si="19"/>
        <v>December</v>
      </c>
      <c r="M198" t="b">
        <f t="shared" si="20"/>
        <v>1</v>
      </c>
      <c r="N198" s="20">
        <f t="shared" si="21"/>
        <v>110000</v>
      </c>
      <c r="O198" s="20" t="b">
        <f t="shared" si="22"/>
        <v>1</v>
      </c>
      <c r="P198" t="b">
        <f t="shared" si="23"/>
        <v>1</v>
      </c>
    </row>
    <row r="199" spans="1:16" ht="15" customHeight="1" x14ac:dyDescent="0.3">
      <c r="A199" s="9" t="s">
        <v>256</v>
      </c>
      <c r="B199" s="21">
        <v>45993</v>
      </c>
      <c r="C199" s="15" t="s">
        <v>120</v>
      </c>
      <c r="D199" s="9" t="s">
        <v>67</v>
      </c>
      <c r="E199" s="9" t="s">
        <v>95</v>
      </c>
      <c r="F199" s="9">
        <v>8</v>
      </c>
      <c r="G199" s="10">
        <v>80000</v>
      </c>
      <c r="H199" s="10">
        <f t="shared" si="18"/>
        <v>640000</v>
      </c>
      <c r="I199" s="9" t="s">
        <v>82</v>
      </c>
      <c r="J199" s="9" t="s">
        <v>115</v>
      </c>
      <c r="K199" t="str">
        <f t="shared" si="19"/>
        <v>December</v>
      </c>
      <c r="M199" t="b">
        <f t="shared" si="20"/>
        <v>1</v>
      </c>
      <c r="N199" s="20">
        <f t="shared" si="21"/>
        <v>80000</v>
      </c>
      <c r="O199" s="20" t="b">
        <f t="shared" si="22"/>
        <v>1</v>
      </c>
      <c r="P199" t="b">
        <f t="shared" si="23"/>
        <v>1</v>
      </c>
    </row>
    <row r="200" spans="1:16" ht="15" customHeight="1" x14ac:dyDescent="0.3">
      <c r="A200" s="9" t="s">
        <v>163</v>
      </c>
      <c r="B200" s="21">
        <v>45994</v>
      </c>
      <c r="C200" s="15" t="s">
        <v>84</v>
      </c>
      <c r="D200" s="9" t="s">
        <v>104</v>
      </c>
      <c r="E200" s="9" t="s">
        <v>145</v>
      </c>
      <c r="F200" s="9">
        <v>5</v>
      </c>
      <c r="G200" s="10">
        <v>134000</v>
      </c>
      <c r="H200" s="10">
        <f t="shared" si="18"/>
        <v>670000</v>
      </c>
      <c r="I200" s="9" t="s">
        <v>82</v>
      </c>
      <c r="J200" s="9" t="s">
        <v>79</v>
      </c>
      <c r="K200" t="str">
        <f t="shared" si="19"/>
        <v>December</v>
      </c>
      <c r="M200" t="b">
        <f t="shared" si="20"/>
        <v>1</v>
      </c>
      <c r="N200" s="20">
        <f t="shared" si="21"/>
        <v>134000</v>
      </c>
      <c r="O200" s="20" t="b">
        <f t="shared" si="22"/>
        <v>1</v>
      </c>
      <c r="P200" t="b">
        <f t="shared" si="23"/>
        <v>1</v>
      </c>
    </row>
    <row r="201" spans="1:16" ht="15" customHeight="1" x14ac:dyDescent="0.3">
      <c r="A201" s="9" t="s">
        <v>164</v>
      </c>
      <c r="B201" s="21">
        <v>45997</v>
      </c>
      <c r="C201" s="15" t="s">
        <v>84</v>
      </c>
      <c r="D201" s="9" t="s">
        <v>87</v>
      </c>
      <c r="E201" s="9" t="s">
        <v>88</v>
      </c>
      <c r="F201" s="9">
        <v>4</v>
      </c>
      <c r="G201" s="10">
        <v>84000</v>
      </c>
      <c r="H201" s="10">
        <f t="shared" si="18"/>
        <v>336000</v>
      </c>
      <c r="I201" s="9" t="s">
        <v>82</v>
      </c>
      <c r="J201" s="9" t="s">
        <v>79</v>
      </c>
      <c r="K201" t="str">
        <f t="shared" si="19"/>
        <v>December</v>
      </c>
      <c r="M201" t="b">
        <f t="shared" si="20"/>
        <v>1</v>
      </c>
      <c r="N201" s="20">
        <f t="shared" si="21"/>
        <v>84000</v>
      </c>
      <c r="O201" s="20" t="b">
        <f t="shared" si="22"/>
        <v>1</v>
      </c>
      <c r="P201" t="b">
        <f t="shared" si="23"/>
        <v>1</v>
      </c>
    </row>
    <row r="202" spans="1:16" ht="15" customHeight="1" x14ac:dyDescent="0.3">
      <c r="A202" s="9" t="s">
        <v>193</v>
      </c>
      <c r="B202" s="21">
        <v>45997</v>
      </c>
      <c r="C202" s="15" t="s">
        <v>81</v>
      </c>
      <c r="D202" s="9" t="s">
        <v>104</v>
      </c>
      <c r="E202" s="9" t="s">
        <v>133</v>
      </c>
      <c r="F202" s="9">
        <v>11</v>
      </c>
      <c r="G202" s="10">
        <v>99000</v>
      </c>
      <c r="H202" s="10">
        <f t="shared" si="18"/>
        <v>1089000</v>
      </c>
      <c r="I202" s="9" t="s">
        <v>75</v>
      </c>
      <c r="J202" s="9" t="s">
        <v>79</v>
      </c>
      <c r="K202" t="str">
        <f t="shared" si="19"/>
        <v>December</v>
      </c>
      <c r="M202" t="b">
        <f t="shared" si="20"/>
        <v>1</v>
      </c>
      <c r="N202" s="20">
        <f t="shared" si="21"/>
        <v>99000</v>
      </c>
      <c r="O202" s="20" t="b">
        <f t="shared" si="22"/>
        <v>1</v>
      </c>
      <c r="P202" t="b">
        <f t="shared" si="23"/>
        <v>1</v>
      </c>
    </row>
    <row r="203" spans="1:16" ht="15" customHeight="1" x14ac:dyDescent="0.3">
      <c r="A203" s="9" t="s">
        <v>240</v>
      </c>
      <c r="B203" s="21">
        <v>45998</v>
      </c>
      <c r="C203" s="15" t="s">
        <v>91</v>
      </c>
      <c r="D203" s="9" t="s">
        <v>87</v>
      </c>
      <c r="E203" s="9" t="s">
        <v>126</v>
      </c>
      <c r="F203" s="9">
        <v>19</v>
      </c>
      <c r="G203" s="10">
        <v>148000</v>
      </c>
      <c r="H203" s="10">
        <f t="shared" si="18"/>
        <v>2812000</v>
      </c>
      <c r="I203" s="9" t="s">
        <v>75</v>
      </c>
      <c r="J203" s="9" t="s">
        <v>70</v>
      </c>
      <c r="K203" t="str">
        <f t="shared" si="19"/>
        <v>December</v>
      </c>
      <c r="M203" t="b">
        <f t="shared" si="20"/>
        <v>1</v>
      </c>
      <c r="N203" s="20">
        <f t="shared" si="21"/>
        <v>148000</v>
      </c>
      <c r="O203" s="20" t="b">
        <f t="shared" si="22"/>
        <v>1</v>
      </c>
      <c r="P203" t="b">
        <f t="shared" si="23"/>
        <v>1</v>
      </c>
    </row>
    <row r="204" spans="1:16" ht="15" customHeight="1" x14ac:dyDescent="0.3">
      <c r="A204" s="9" t="s">
        <v>209</v>
      </c>
      <c r="B204" s="21">
        <v>46000</v>
      </c>
      <c r="C204" s="15" t="s">
        <v>91</v>
      </c>
      <c r="D204" s="9" t="s">
        <v>111</v>
      </c>
      <c r="E204" s="9" t="s">
        <v>114</v>
      </c>
      <c r="F204" s="9">
        <v>16</v>
      </c>
      <c r="G204" s="10">
        <v>77000</v>
      </c>
      <c r="H204" s="10">
        <f t="shared" si="18"/>
        <v>1232000</v>
      </c>
      <c r="I204" s="9" t="s">
        <v>75</v>
      </c>
      <c r="J204" s="9" t="s">
        <v>70</v>
      </c>
      <c r="K204" t="str">
        <f t="shared" si="19"/>
        <v>December</v>
      </c>
      <c r="M204" t="b">
        <f t="shared" si="20"/>
        <v>1</v>
      </c>
      <c r="N204" s="20">
        <f t="shared" si="21"/>
        <v>77000</v>
      </c>
      <c r="O204" s="20" t="b">
        <f t="shared" si="22"/>
        <v>1</v>
      </c>
      <c r="P204" t="b">
        <f t="shared" si="23"/>
        <v>1</v>
      </c>
    </row>
    <row r="205" spans="1:16" ht="15" customHeight="1" x14ac:dyDescent="0.3">
      <c r="A205" s="9" t="s">
        <v>129</v>
      </c>
      <c r="B205" s="21">
        <v>46001</v>
      </c>
      <c r="C205" s="15" t="s">
        <v>84</v>
      </c>
      <c r="D205" s="9" t="s">
        <v>87</v>
      </c>
      <c r="E205" s="9" t="s">
        <v>88</v>
      </c>
      <c r="F205" s="9">
        <v>14</v>
      </c>
      <c r="G205" s="10">
        <v>171000</v>
      </c>
      <c r="H205" s="10">
        <f t="shared" si="18"/>
        <v>2394000</v>
      </c>
      <c r="I205" s="9" t="s">
        <v>93</v>
      </c>
      <c r="J205" s="9" t="s">
        <v>70</v>
      </c>
      <c r="K205" t="str">
        <f t="shared" si="19"/>
        <v>December</v>
      </c>
      <c r="M205" t="b">
        <f t="shared" si="20"/>
        <v>1</v>
      </c>
      <c r="N205" s="20">
        <f t="shared" si="21"/>
        <v>171000</v>
      </c>
      <c r="O205" s="20" t="b">
        <f t="shared" si="22"/>
        <v>1</v>
      </c>
      <c r="P205" t="b">
        <f t="shared" si="23"/>
        <v>1</v>
      </c>
    </row>
    <row r="206" spans="1:16" ht="15" customHeight="1" x14ac:dyDescent="0.3">
      <c r="A206" s="9" t="s">
        <v>316</v>
      </c>
      <c r="B206" s="21">
        <v>46005</v>
      </c>
      <c r="C206" s="15" t="s">
        <v>81</v>
      </c>
      <c r="D206" s="9" t="s">
        <v>111</v>
      </c>
      <c r="E206" s="9" t="s">
        <v>153</v>
      </c>
      <c r="F206" s="9">
        <v>15</v>
      </c>
      <c r="G206" s="10">
        <v>88000</v>
      </c>
      <c r="H206" s="10">
        <f t="shared" si="18"/>
        <v>1320000</v>
      </c>
      <c r="I206" s="9" t="s">
        <v>75</v>
      </c>
      <c r="J206" s="9" t="s">
        <v>70</v>
      </c>
      <c r="K206" t="str">
        <f t="shared" si="19"/>
        <v>December</v>
      </c>
      <c r="M206" t="b">
        <f t="shared" si="20"/>
        <v>1</v>
      </c>
      <c r="N206" s="20">
        <f t="shared" si="21"/>
        <v>88000</v>
      </c>
      <c r="O206" s="20" t="b">
        <f t="shared" si="22"/>
        <v>1</v>
      </c>
      <c r="P206" t="b">
        <f t="shared" si="23"/>
        <v>1</v>
      </c>
    </row>
    <row r="207" spans="1:16" ht="15" customHeight="1" x14ac:dyDescent="0.3">
      <c r="A207" s="9" t="s">
        <v>218</v>
      </c>
      <c r="B207" s="21">
        <v>46006</v>
      </c>
      <c r="C207" s="15" t="s">
        <v>72</v>
      </c>
      <c r="D207" s="9" t="s">
        <v>104</v>
      </c>
      <c r="E207" s="9" t="s">
        <v>133</v>
      </c>
      <c r="F207" s="9">
        <v>7</v>
      </c>
      <c r="G207" s="10">
        <v>58000</v>
      </c>
      <c r="H207" s="10">
        <f t="shared" si="18"/>
        <v>406000</v>
      </c>
      <c r="I207" s="9" t="s">
        <v>75</v>
      </c>
      <c r="J207" s="9" t="s">
        <v>79</v>
      </c>
      <c r="K207" t="str">
        <f t="shared" si="19"/>
        <v>December</v>
      </c>
      <c r="M207" t="b">
        <f t="shared" si="20"/>
        <v>1</v>
      </c>
      <c r="N207" s="20">
        <f t="shared" si="21"/>
        <v>58000</v>
      </c>
      <c r="O207" s="20" t="b">
        <f t="shared" si="22"/>
        <v>1</v>
      </c>
      <c r="P207" t="b">
        <f t="shared" si="23"/>
        <v>1</v>
      </c>
    </row>
    <row r="208" spans="1:16" ht="15" customHeight="1" x14ac:dyDescent="0.3">
      <c r="A208" s="9" t="s">
        <v>285</v>
      </c>
      <c r="B208" s="21">
        <v>46008</v>
      </c>
      <c r="C208" s="15" t="s">
        <v>81</v>
      </c>
      <c r="D208" s="9" t="s">
        <v>73</v>
      </c>
      <c r="E208" s="9" t="s">
        <v>78</v>
      </c>
      <c r="F208" s="9">
        <v>5</v>
      </c>
      <c r="G208" s="10">
        <v>57000</v>
      </c>
      <c r="H208" s="10">
        <f t="shared" si="18"/>
        <v>285000</v>
      </c>
      <c r="I208" s="9" t="s">
        <v>69</v>
      </c>
      <c r="J208" s="9" t="s">
        <v>79</v>
      </c>
      <c r="K208" t="str">
        <f t="shared" si="19"/>
        <v>December</v>
      </c>
      <c r="M208" t="b">
        <f t="shared" si="20"/>
        <v>1</v>
      </c>
      <c r="N208" s="20">
        <f t="shared" si="21"/>
        <v>57000</v>
      </c>
      <c r="O208" s="20" t="b">
        <f t="shared" si="22"/>
        <v>1</v>
      </c>
      <c r="P208" t="b">
        <f t="shared" si="23"/>
        <v>1</v>
      </c>
    </row>
    <row r="209" spans="1:16" ht="15" customHeight="1" x14ac:dyDescent="0.3">
      <c r="A209" s="9" t="s">
        <v>80</v>
      </c>
      <c r="B209" s="21">
        <v>46011</v>
      </c>
      <c r="C209" s="15" t="s">
        <v>81</v>
      </c>
      <c r="D209" s="9" t="s">
        <v>73</v>
      </c>
      <c r="E209" s="9" t="s">
        <v>74</v>
      </c>
      <c r="F209" s="9">
        <v>1</v>
      </c>
      <c r="G209" s="10">
        <v>71000</v>
      </c>
      <c r="H209" s="10">
        <f t="shared" si="18"/>
        <v>71000</v>
      </c>
      <c r="I209" s="9" t="s">
        <v>82</v>
      </c>
      <c r="J209" s="9" t="s">
        <v>70</v>
      </c>
      <c r="K209" t="str">
        <f t="shared" si="19"/>
        <v>December</v>
      </c>
      <c r="M209" t="b">
        <f t="shared" si="20"/>
        <v>1</v>
      </c>
      <c r="N209" s="20">
        <f t="shared" si="21"/>
        <v>71000</v>
      </c>
      <c r="O209" s="20" t="b">
        <f t="shared" si="22"/>
        <v>1</v>
      </c>
      <c r="P209" t="b">
        <f t="shared" si="23"/>
        <v>1</v>
      </c>
    </row>
    <row r="210" spans="1:16" ht="15" customHeight="1" x14ac:dyDescent="0.3">
      <c r="A210" s="9" t="s">
        <v>138</v>
      </c>
      <c r="B210" s="21">
        <v>46011</v>
      </c>
      <c r="C210" s="15" t="s">
        <v>98</v>
      </c>
      <c r="D210" s="9" t="s">
        <v>104</v>
      </c>
      <c r="E210" s="9" t="s">
        <v>105</v>
      </c>
      <c r="F210" s="9">
        <v>12</v>
      </c>
      <c r="G210" s="10">
        <v>35000</v>
      </c>
      <c r="H210" s="10">
        <f t="shared" si="18"/>
        <v>420000</v>
      </c>
      <c r="I210" s="9" t="s">
        <v>75</v>
      </c>
      <c r="J210" s="9" t="s">
        <v>70</v>
      </c>
      <c r="K210" t="str">
        <f t="shared" si="19"/>
        <v>December</v>
      </c>
      <c r="M210" t="b">
        <f t="shared" si="20"/>
        <v>1</v>
      </c>
      <c r="N210" s="20">
        <f t="shared" si="21"/>
        <v>35000</v>
      </c>
      <c r="O210" s="20" t="b">
        <f t="shared" si="22"/>
        <v>1</v>
      </c>
      <c r="P210" t="b">
        <f t="shared" si="23"/>
        <v>1</v>
      </c>
    </row>
    <row r="211" spans="1:16" ht="15" customHeight="1" x14ac:dyDescent="0.3">
      <c r="A211" s="9" t="s">
        <v>202</v>
      </c>
      <c r="B211" s="21">
        <v>46011</v>
      </c>
      <c r="C211" s="15" t="s">
        <v>77</v>
      </c>
      <c r="D211" s="9" t="s">
        <v>111</v>
      </c>
      <c r="E211" s="9" t="s">
        <v>112</v>
      </c>
      <c r="F211" s="9">
        <v>22</v>
      </c>
      <c r="G211" s="10">
        <v>71000</v>
      </c>
      <c r="H211" s="10">
        <f t="shared" si="18"/>
        <v>1562000</v>
      </c>
      <c r="I211" s="9" t="s">
        <v>69</v>
      </c>
      <c r="J211" s="9" t="s">
        <v>70</v>
      </c>
      <c r="K211" t="str">
        <f t="shared" si="19"/>
        <v>December</v>
      </c>
      <c r="M211" t="b">
        <f t="shared" si="20"/>
        <v>1</v>
      </c>
      <c r="N211" s="20">
        <f t="shared" si="21"/>
        <v>71000</v>
      </c>
      <c r="O211" s="20" t="b">
        <f t="shared" si="22"/>
        <v>1</v>
      </c>
      <c r="P211" t="b">
        <f t="shared" si="23"/>
        <v>1</v>
      </c>
    </row>
    <row r="212" spans="1:16" ht="15" customHeight="1" x14ac:dyDescent="0.3">
      <c r="A212" s="9" t="s">
        <v>260</v>
      </c>
      <c r="B212" s="21">
        <v>46012</v>
      </c>
      <c r="C212" s="15" t="s">
        <v>101</v>
      </c>
      <c r="D212" s="9" t="s">
        <v>87</v>
      </c>
      <c r="E212" s="9" t="s">
        <v>177</v>
      </c>
      <c r="F212" s="9">
        <v>2</v>
      </c>
      <c r="G212" s="10">
        <v>138000</v>
      </c>
      <c r="H212" s="10">
        <f t="shared" si="18"/>
        <v>276000</v>
      </c>
      <c r="I212" s="9" t="s">
        <v>93</v>
      </c>
      <c r="J212" s="9" t="s">
        <v>70</v>
      </c>
      <c r="K212" t="str">
        <f t="shared" si="19"/>
        <v>December</v>
      </c>
      <c r="M212" t="b">
        <f t="shared" si="20"/>
        <v>1</v>
      </c>
      <c r="N212" s="20">
        <f t="shared" si="21"/>
        <v>138000</v>
      </c>
      <c r="O212" s="20" t="b">
        <f t="shared" si="22"/>
        <v>1</v>
      </c>
      <c r="P212" t="b">
        <f t="shared" si="23"/>
        <v>1</v>
      </c>
    </row>
    <row r="213" spans="1:16" ht="15" customHeight="1" x14ac:dyDescent="0.3">
      <c r="A213" s="9" t="s">
        <v>247</v>
      </c>
      <c r="B213" s="21">
        <v>46013</v>
      </c>
      <c r="C213" s="15" t="s">
        <v>72</v>
      </c>
      <c r="D213" s="9" t="s">
        <v>67</v>
      </c>
      <c r="E213" s="9" t="s">
        <v>117</v>
      </c>
      <c r="F213" s="9">
        <v>9</v>
      </c>
      <c r="G213" s="10">
        <v>214000</v>
      </c>
      <c r="H213" s="10">
        <f t="shared" si="18"/>
        <v>1926000</v>
      </c>
      <c r="I213" s="9" t="s">
        <v>82</v>
      </c>
      <c r="J213" s="9" t="s">
        <v>79</v>
      </c>
      <c r="K213" t="str">
        <f t="shared" si="19"/>
        <v>December</v>
      </c>
      <c r="M213" t="b">
        <f t="shared" si="20"/>
        <v>1</v>
      </c>
      <c r="N213" s="20">
        <f t="shared" si="21"/>
        <v>214000</v>
      </c>
      <c r="O213" s="20" t="b">
        <f t="shared" si="22"/>
        <v>1</v>
      </c>
      <c r="P213" t="b">
        <f t="shared" si="23"/>
        <v>1</v>
      </c>
    </row>
    <row r="214" spans="1:16" ht="15" customHeight="1" x14ac:dyDescent="0.3">
      <c r="A214" s="9" t="s">
        <v>272</v>
      </c>
      <c r="B214" s="21">
        <v>46016</v>
      </c>
      <c r="C214" s="15" t="s">
        <v>72</v>
      </c>
      <c r="D214" s="9" t="s">
        <v>67</v>
      </c>
      <c r="E214" s="9" t="s">
        <v>68</v>
      </c>
      <c r="F214" s="9">
        <v>13</v>
      </c>
      <c r="G214" s="10">
        <v>105000</v>
      </c>
      <c r="H214" s="10">
        <f t="shared" si="18"/>
        <v>1365000</v>
      </c>
      <c r="I214" s="9" t="s">
        <v>93</v>
      </c>
      <c r="J214" s="9" t="s">
        <v>79</v>
      </c>
      <c r="K214" t="str">
        <f t="shared" si="19"/>
        <v>December</v>
      </c>
      <c r="M214" t="b">
        <f t="shared" si="20"/>
        <v>1</v>
      </c>
      <c r="N214" s="20">
        <f t="shared" si="21"/>
        <v>105000</v>
      </c>
      <c r="O214" s="20" t="b">
        <f t="shared" si="22"/>
        <v>1</v>
      </c>
      <c r="P214" t="b">
        <f t="shared" si="23"/>
        <v>1</v>
      </c>
    </row>
    <row r="215" spans="1:16" ht="15" customHeight="1" x14ac:dyDescent="0.3">
      <c r="A215" s="9" t="s">
        <v>216</v>
      </c>
      <c r="B215" s="21">
        <v>46017</v>
      </c>
      <c r="C215" s="15" t="s">
        <v>84</v>
      </c>
      <c r="D215" s="9" t="s">
        <v>104</v>
      </c>
      <c r="E215" s="9" t="s">
        <v>122</v>
      </c>
      <c r="F215" s="9">
        <v>18</v>
      </c>
      <c r="G215" s="10">
        <v>78000</v>
      </c>
      <c r="H215" s="10">
        <f t="shared" si="18"/>
        <v>1404000</v>
      </c>
      <c r="I215" s="9" t="s">
        <v>75</v>
      </c>
      <c r="J215" s="9" t="s">
        <v>115</v>
      </c>
      <c r="K215" t="str">
        <f t="shared" si="19"/>
        <v>December</v>
      </c>
      <c r="M215" t="b">
        <f t="shared" si="20"/>
        <v>1</v>
      </c>
      <c r="N215" s="20">
        <f t="shared" si="21"/>
        <v>78000</v>
      </c>
      <c r="O215" s="20" t="b">
        <f t="shared" si="22"/>
        <v>1</v>
      </c>
      <c r="P215" t="b">
        <f t="shared" si="23"/>
        <v>1</v>
      </c>
    </row>
    <row r="216" spans="1:16" ht="15" customHeight="1" x14ac:dyDescent="0.3">
      <c r="A216" s="9" t="s">
        <v>106</v>
      </c>
      <c r="B216" s="21">
        <v>46017</v>
      </c>
      <c r="C216" s="15" t="s">
        <v>107</v>
      </c>
      <c r="D216" s="9" t="s">
        <v>73</v>
      </c>
      <c r="E216" s="9" t="s">
        <v>78</v>
      </c>
      <c r="F216" s="9">
        <v>15</v>
      </c>
      <c r="G216" s="10">
        <v>20000</v>
      </c>
      <c r="H216" s="10">
        <f t="shared" si="18"/>
        <v>300000</v>
      </c>
      <c r="I216" s="9" t="s">
        <v>82</v>
      </c>
      <c r="J216" s="9" t="s">
        <v>79</v>
      </c>
      <c r="K216" t="str">
        <f t="shared" si="19"/>
        <v>December</v>
      </c>
      <c r="M216" t="b">
        <f t="shared" si="20"/>
        <v>1</v>
      </c>
      <c r="N216" s="20">
        <f t="shared" si="21"/>
        <v>20000</v>
      </c>
      <c r="O216" s="20" t="b">
        <f t="shared" si="22"/>
        <v>1</v>
      </c>
      <c r="P216" t="b">
        <f t="shared" si="23"/>
        <v>1</v>
      </c>
    </row>
    <row r="217" spans="1:16" ht="15" customHeight="1" x14ac:dyDescent="0.3">
      <c r="A217" s="9" t="s">
        <v>96</v>
      </c>
      <c r="B217" s="21">
        <v>46018</v>
      </c>
      <c r="C217" s="15" t="s">
        <v>84</v>
      </c>
      <c r="D217" s="9" t="s">
        <v>73</v>
      </c>
      <c r="E217" s="9" t="s">
        <v>78</v>
      </c>
      <c r="F217" s="9">
        <v>23</v>
      </c>
      <c r="G217" s="10">
        <v>61000</v>
      </c>
      <c r="H217" s="10">
        <f t="shared" si="18"/>
        <v>1403000</v>
      </c>
      <c r="I217" s="9" t="s">
        <v>69</v>
      </c>
      <c r="J217" s="9" t="s">
        <v>70</v>
      </c>
      <c r="K217" t="str">
        <f t="shared" si="19"/>
        <v>December</v>
      </c>
      <c r="M217" t="b">
        <f t="shared" si="20"/>
        <v>1</v>
      </c>
      <c r="N217" s="20">
        <f t="shared" si="21"/>
        <v>61000</v>
      </c>
      <c r="O217" s="20" t="b">
        <f t="shared" si="22"/>
        <v>1</v>
      </c>
      <c r="P217" t="b">
        <f t="shared" si="23"/>
        <v>1</v>
      </c>
    </row>
    <row r="218" spans="1:16" ht="15" customHeight="1" x14ac:dyDescent="0.3">
      <c r="A218" s="9" t="s">
        <v>198</v>
      </c>
      <c r="B218" s="21">
        <v>46018</v>
      </c>
      <c r="C218" s="15" t="s">
        <v>72</v>
      </c>
      <c r="D218" s="9" t="s">
        <v>67</v>
      </c>
      <c r="E218" s="9" t="s">
        <v>68</v>
      </c>
      <c r="F218" s="9">
        <v>10</v>
      </c>
      <c r="G218" s="10">
        <v>129000</v>
      </c>
      <c r="H218" s="10">
        <f t="shared" si="18"/>
        <v>1290000</v>
      </c>
      <c r="I218" s="11" t="s">
        <v>335</v>
      </c>
      <c r="J218" s="9" t="s">
        <v>70</v>
      </c>
      <c r="K218" t="str">
        <f t="shared" si="19"/>
        <v>December</v>
      </c>
      <c r="M218" t="b">
        <f t="shared" si="20"/>
        <v>1</v>
      </c>
      <c r="N218" s="20">
        <f t="shared" si="21"/>
        <v>129000</v>
      </c>
      <c r="O218" s="20" t="b">
        <f t="shared" si="22"/>
        <v>1</v>
      </c>
      <c r="P218" t="b">
        <f t="shared" si="23"/>
        <v>1</v>
      </c>
    </row>
    <row r="219" spans="1:16" ht="15" customHeight="1" x14ac:dyDescent="0.3">
      <c r="A219" s="9" t="s">
        <v>331</v>
      </c>
      <c r="B219" s="21">
        <v>46018</v>
      </c>
      <c r="C219" s="15" t="s">
        <v>77</v>
      </c>
      <c r="D219" s="9" t="s">
        <v>73</v>
      </c>
      <c r="E219" s="9" t="s">
        <v>102</v>
      </c>
      <c r="F219" s="9">
        <v>16</v>
      </c>
      <c r="G219" s="10">
        <v>35000</v>
      </c>
      <c r="H219" s="10">
        <f t="shared" si="18"/>
        <v>560000</v>
      </c>
      <c r="I219" s="9" t="s">
        <v>93</v>
      </c>
      <c r="J219" s="9" t="s">
        <v>70</v>
      </c>
      <c r="K219" t="str">
        <f t="shared" si="19"/>
        <v>December</v>
      </c>
      <c r="M219" t="b">
        <f t="shared" si="20"/>
        <v>1</v>
      </c>
      <c r="N219" s="20">
        <f t="shared" si="21"/>
        <v>35000</v>
      </c>
      <c r="O219" s="20" t="b">
        <f t="shared" si="22"/>
        <v>1</v>
      </c>
      <c r="P219" t="b">
        <f t="shared" si="23"/>
        <v>1</v>
      </c>
    </row>
    <row r="220" spans="1:16" ht="15" customHeight="1" x14ac:dyDescent="0.3">
      <c r="A220" s="9" t="s">
        <v>220</v>
      </c>
      <c r="B220" s="21">
        <v>46020</v>
      </c>
      <c r="C220" s="15" t="s">
        <v>107</v>
      </c>
      <c r="D220" s="9" t="s">
        <v>87</v>
      </c>
      <c r="E220" s="9" t="s">
        <v>88</v>
      </c>
      <c r="F220" s="9">
        <v>2</v>
      </c>
      <c r="G220" s="10">
        <v>119000</v>
      </c>
      <c r="H220" s="10">
        <f t="shared" si="18"/>
        <v>238000</v>
      </c>
      <c r="I220" s="9" t="s">
        <v>89</v>
      </c>
      <c r="J220" s="9" t="s">
        <v>70</v>
      </c>
      <c r="K220" t="str">
        <f t="shared" si="19"/>
        <v>December</v>
      </c>
      <c r="M220" t="b">
        <f t="shared" si="20"/>
        <v>1</v>
      </c>
      <c r="N220" s="20">
        <f t="shared" si="21"/>
        <v>119000</v>
      </c>
      <c r="O220" s="20" t="b">
        <f t="shared" si="22"/>
        <v>1</v>
      </c>
      <c r="P220" t="b">
        <f t="shared" si="23"/>
        <v>1</v>
      </c>
    </row>
    <row r="221" spans="1:16" ht="15" customHeight="1" x14ac:dyDescent="0.3">
      <c r="A221" s="9" t="s">
        <v>192</v>
      </c>
      <c r="B221" s="21">
        <v>46020</v>
      </c>
      <c r="C221" s="15" t="s">
        <v>81</v>
      </c>
      <c r="D221" s="9" t="s">
        <v>73</v>
      </c>
      <c r="E221" s="9" t="s">
        <v>78</v>
      </c>
      <c r="F221" s="9">
        <v>12</v>
      </c>
      <c r="G221" s="10">
        <v>72000</v>
      </c>
      <c r="H221" s="10">
        <f t="shared" si="18"/>
        <v>864000</v>
      </c>
      <c r="I221" s="9" t="s">
        <v>75</v>
      </c>
      <c r="J221" s="9" t="s">
        <v>79</v>
      </c>
      <c r="K221" t="str">
        <f t="shared" si="19"/>
        <v>December</v>
      </c>
      <c r="M221" t="b">
        <f t="shared" si="20"/>
        <v>1</v>
      </c>
      <c r="N221" s="20">
        <f t="shared" si="21"/>
        <v>72000</v>
      </c>
      <c r="O221" s="20" t="b">
        <f t="shared" si="22"/>
        <v>1</v>
      </c>
      <c r="P221" t="b">
        <f t="shared" si="23"/>
        <v>1</v>
      </c>
    </row>
    <row r="222" spans="1:16" x14ac:dyDescent="0.25">
      <c r="C222" s="17"/>
      <c r="I222" s="18"/>
    </row>
    <row r="224" spans="1:16" ht="28.5" x14ac:dyDescent="0.25">
      <c r="M224" s="28" t="s">
        <v>341</v>
      </c>
      <c r="N224" s="29">
        <f>SUM(H2:H221)</f>
        <v>280633000</v>
      </c>
    </row>
    <row r="225" spans="13:14" ht="28.5" x14ac:dyDescent="0.25">
      <c r="M225" s="28" t="s">
        <v>342</v>
      </c>
      <c r="N225" s="30">
        <f>SUM(F2:F221)</f>
        <v>2999</v>
      </c>
    </row>
  </sheetData>
  <autoFilter ref="A1:K221" xr:uid="{00000000-0001-0000-0100-000000000000}"/>
  <sortState xmlns:xlrd2="http://schemas.microsoft.com/office/spreadsheetml/2017/richdata2" ref="A2:K221">
    <sortCondition ref="B2:B221"/>
  </sortState>
  <phoneticPr fontId="13" type="noConversion"/>
  <conditionalFormatting sqref="A1:A1048576">
    <cfRule type="duplicateValues" dxfId="0" priority="3"/>
  </conditionalFormatting>
  <conditionalFormatting sqref="F1:F1048576">
    <cfRule type="cellIs" priority="1" operator="lessThanOrEqual">
      <formula>0</formula>
    </cfRule>
  </conditionalFormatting>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Instruksi Tugas</vt:lpstr>
      <vt:lpstr>Data Penjualan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W10</cp:lastModifiedBy>
  <cp:revision>0</cp:revision>
  <dcterms:created xsi:type="dcterms:W3CDTF">2026-08-26T10:05:52Z</dcterms:created>
  <dcterms:modified xsi:type="dcterms:W3CDTF">2026-10-10T17:40:44Z</dcterms:modified>
  <dc:language>en-US</dc:language>
</cp:coreProperties>
</file>