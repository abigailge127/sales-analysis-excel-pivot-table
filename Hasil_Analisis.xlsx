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hidePivotFieldList="1"/>
  <mc:AlternateContent xmlns:mc="http://schemas.openxmlformats.org/markup-compatibility/2006">
    <mc:Choice Requires="x15">
      <x15ac:absPath xmlns:x15ac="http://schemas.microsoft.com/office/spreadsheetml/2010/11/ac" url="C:\Users\W10\Downloads\"/>
    </mc:Choice>
  </mc:AlternateContent>
  <xr:revisionPtr revIDLastSave="0" documentId="13_ncr:1_{0C3A597B-FF58-4BF3-AE29-7623B31D237C}" xr6:coauthVersionLast="47" xr6:coauthVersionMax="47" xr10:uidLastSave="{00000000-0000-0000-0000-000000000000}"/>
  <bookViews>
    <workbookView xWindow="-120" yWindow="-120" windowWidth="20730" windowHeight="11160" xr2:uid="{00000000-000D-0000-FFFF-FFFF00000000}"/>
  </bookViews>
  <sheets>
    <sheet name="Presentasi" sheetId="8" r:id="rId1"/>
    <sheet name="Ringkasan Eksekutif" sheetId="7" r:id="rId2"/>
    <sheet name="Rekomendasi Strategis" sheetId="6" r:id="rId3"/>
    <sheet name="ANALISIS" sheetId="5" r:id="rId4"/>
    <sheet name="Dashboard" sheetId="9" r:id="rId5"/>
    <sheet name="Catatan Cleaning" sheetId="3" r:id="rId6"/>
    <sheet name="Data Penjualan" sheetId="2" r:id="rId7"/>
  </sheets>
  <definedNames>
    <definedName name="_xlnm._FilterDatabase" localSheetId="6" hidden="1">'Data Penjualan'!$A$1:$K$221</definedName>
    <definedName name="Slicer_Bulan">#N/A</definedName>
    <definedName name="Slicer_Kategori_Produk">#N/A</definedName>
    <definedName name="Slicer_Metode_Pembayaran">#N/A</definedName>
    <definedName name="Slicer_Segmen_Pelanggan">#N/A</definedName>
    <definedName name="Slicer_Wilayah1">#N/A</definedName>
  </definedNames>
  <calcPr calcId="191029" iterateDelta="1E-4"/>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B20" i="5" l="1"/>
  <c r="B22" i="5" s="1"/>
  <c r="B19" i="5"/>
  <c r="B21" i="5" s="1"/>
  <c r="J271"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265" i="5"/>
  <c r="F266" i="5"/>
  <c r="F267" i="5"/>
  <c r="F268" i="5"/>
  <c r="F269" i="5"/>
  <c r="F270" i="5"/>
  <c r="F271" i="5"/>
  <c r="F272" i="5"/>
  <c r="F273" i="5"/>
  <c r="F264" i="5"/>
  <c r="I271" i="5" a="1"/>
  <c r="I271" i="5" s="1"/>
  <c r="H271" i="5" a="1"/>
  <c r="H271" i="5" s="1"/>
  <c r="D221" i="5"/>
  <c r="D222" i="5"/>
  <c r="D223" i="5"/>
  <c r="D224" i="5"/>
  <c r="D225" i="5"/>
  <c r="D226" i="5"/>
  <c r="D227" i="5"/>
  <c r="D228" i="5"/>
  <c r="D229" i="5"/>
  <c r="D230" i="5"/>
  <c r="D220" i="5"/>
  <c r="F184" i="5"/>
  <c r="C184" i="5"/>
  <c r="F188" i="5"/>
  <c r="C188" i="5"/>
  <c r="F187" i="5"/>
  <c r="C187" i="5"/>
  <c r="F186" i="5"/>
  <c r="C186" i="5"/>
  <c r="F185" i="5"/>
  <c r="C185" i="5"/>
  <c r="E188" i="5"/>
  <c r="E187" i="5"/>
  <c r="E186" i="5"/>
  <c r="E185" i="5"/>
  <c r="E184" i="5"/>
  <c r="D187" i="5"/>
  <c r="D186" i="5"/>
  <c r="D185" i="5"/>
  <c r="D184" i="5"/>
  <c r="E36" i="5"/>
  <c r="E37" i="5"/>
  <c r="E38" i="5"/>
  <c r="E39" i="5"/>
  <c r="E40" i="5"/>
  <c r="E41" i="5"/>
  <c r="E42" i="5"/>
  <c r="E43" i="5"/>
  <c r="E44" i="5"/>
  <c r="E35" i="5"/>
  <c r="K3" i="2"/>
  <c r="K4" i="2"/>
  <c r="K5" i="2"/>
  <c r="K6" i="2"/>
  <c r="K7" i="2"/>
  <c r="K8" i="2"/>
  <c r="K9" i="2"/>
  <c r="K10" i="2"/>
  <c r="K11" i="2"/>
  <c r="K12" i="2"/>
  <c r="K13" i="2"/>
  <c r="K15" i="2"/>
  <c r="K16" i="2"/>
  <c r="K14" i="2"/>
  <c r="K17" i="2"/>
  <c r="K18" i="2"/>
  <c r="K19" i="2"/>
  <c r="K20" i="2"/>
  <c r="K21" i="2"/>
  <c r="K22" i="2"/>
  <c r="K23" i="2"/>
  <c r="K24" i="2"/>
  <c r="K25" i="2"/>
  <c r="K26" i="2"/>
  <c r="K27" i="2"/>
  <c r="K28" i="2"/>
  <c r="K29" i="2"/>
  <c r="K30" i="2"/>
  <c r="K31" i="2"/>
  <c r="K32" i="2"/>
  <c r="K34" i="2"/>
  <c r="K33" i="2"/>
  <c r="K35" i="2"/>
  <c r="K37" i="2"/>
  <c r="K36" i="2"/>
  <c r="K38" i="2"/>
  <c r="K39" i="2"/>
  <c r="K40" i="2"/>
  <c r="K41" i="2"/>
  <c r="K42" i="2"/>
  <c r="K43" i="2"/>
  <c r="K44" i="2"/>
  <c r="K45" i="2"/>
  <c r="K46" i="2"/>
  <c r="K47" i="2"/>
  <c r="K48" i="2"/>
  <c r="K49" i="2"/>
  <c r="K50" i="2"/>
  <c r="K51" i="2"/>
  <c r="K52" i="2"/>
  <c r="K53" i="2"/>
  <c r="K54" i="2"/>
  <c r="K56" i="2"/>
  <c r="K55" i="2"/>
  <c r="K57" i="2"/>
  <c r="K59" i="2"/>
  <c r="K58" i="2"/>
  <c r="K60" i="2"/>
  <c r="K61" i="2"/>
  <c r="K62" i="2"/>
  <c r="K63" i="2"/>
  <c r="K64" i="2"/>
  <c r="K65" i="2"/>
  <c r="K66" i="2"/>
  <c r="K67" i="2"/>
  <c r="K69" i="2"/>
  <c r="K68" i="2"/>
  <c r="K71" i="2"/>
  <c r="K70" i="2"/>
  <c r="K72" i="2"/>
  <c r="K73" i="2"/>
  <c r="K74" i="2"/>
  <c r="K75" i="2"/>
  <c r="K76" i="2"/>
  <c r="K77" i="2"/>
  <c r="K78" i="2"/>
  <c r="K79" i="2"/>
  <c r="K80" i="2"/>
  <c r="K81" i="2"/>
  <c r="K82" i="2"/>
  <c r="K83" i="2"/>
  <c r="K85" i="2"/>
  <c r="K86" i="2"/>
  <c r="K84" i="2"/>
  <c r="K87" i="2"/>
  <c r="K88" i="2"/>
  <c r="K90" i="2"/>
  <c r="K89" i="2"/>
  <c r="K91" i="2"/>
  <c r="K92" i="2"/>
  <c r="K93" i="2"/>
  <c r="K94" i="2"/>
  <c r="K95" i="2"/>
  <c r="K96" i="2"/>
  <c r="K97" i="2"/>
  <c r="K98" i="2"/>
  <c r="K99" i="2"/>
  <c r="K100" i="2"/>
  <c r="K101" i="2"/>
  <c r="K102" i="2"/>
  <c r="K103" i="2"/>
  <c r="K104" i="2"/>
  <c r="K105" i="2"/>
  <c r="K106" i="2"/>
  <c r="K107" i="2"/>
  <c r="K108" i="2"/>
  <c r="K110" i="2"/>
  <c r="K109"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50" i="2"/>
  <c r="K149" i="2"/>
  <c r="K151" i="2"/>
  <c r="K152" i="2"/>
  <c r="K153" i="2"/>
  <c r="K154" i="2"/>
  <c r="K155" i="2"/>
  <c r="K156" i="2"/>
  <c r="K157" i="2"/>
  <c r="K158" i="2"/>
  <c r="K159" i="2"/>
  <c r="K161" i="2"/>
  <c r="K160"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8" i="2"/>
  <c r="K187" i="2"/>
  <c r="K191" i="2"/>
  <c r="K189" i="2"/>
  <c r="K190" i="2"/>
  <c r="K192" i="2"/>
  <c r="K193" i="2"/>
  <c r="K194" i="2"/>
  <c r="K195" i="2"/>
  <c r="K196" i="2"/>
  <c r="K197" i="2"/>
  <c r="K199" i="2"/>
  <c r="K198" i="2"/>
  <c r="K200" i="2"/>
  <c r="K201" i="2"/>
  <c r="K202" i="2"/>
  <c r="K203" i="2"/>
  <c r="K204" i="2"/>
  <c r="K205" i="2"/>
  <c r="K206" i="2"/>
  <c r="K207" i="2"/>
  <c r="K208" i="2"/>
  <c r="K209" i="2"/>
  <c r="K210" i="2"/>
  <c r="K211" i="2"/>
  <c r="K212" i="2"/>
  <c r="K213" i="2"/>
  <c r="K214" i="2"/>
  <c r="K216" i="2"/>
  <c r="K215" i="2"/>
  <c r="K217" i="2"/>
  <c r="K218" i="2"/>
  <c r="K219" i="2"/>
  <c r="K221" i="2"/>
  <c r="K220" i="2"/>
  <c r="K2" i="2"/>
  <c r="N225"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 i="2"/>
  <c r="H2" i="2"/>
  <c r="H81" i="2"/>
  <c r="P81" i="2" s="1"/>
  <c r="H219" i="2"/>
  <c r="P219" i="2" s="1"/>
  <c r="H137" i="2"/>
  <c r="H170" i="2"/>
  <c r="H148" i="2"/>
  <c r="P148" i="2" s="1"/>
  <c r="H97" i="2"/>
  <c r="H107" i="2"/>
  <c r="H119" i="2"/>
  <c r="P119" i="2" s="1"/>
  <c r="H95" i="2"/>
  <c r="P95" i="2" s="1"/>
  <c r="H84" i="2"/>
  <c r="H153" i="2"/>
  <c r="H27" i="2"/>
  <c r="H77" i="2"/>
  <c r="P77" i="2" s="1"/>
  <c r="H38" i="2"/>
  <c r="H45" i="2"/>
  <c r="P45" i="2" s="1"/>
  <c r="H166" i="2"/>
  <c r="H206" i="2"/>
  <c r="P206" i="2" s="1"/>
  <c r="H42" i="2"/>
  <c r="H180" i="2"/>
  <c r="H33" i="2"/>
  <c r="H177" i="2"/>
  <c r="H159" i="2"/>
  <c r="H190" i="2"/>
  <c r="H70" i="2"/>
  <c r="H113" i="2"/>
  <c r="P113" i="2" s="1"/>
  <c r="H62" i="2"/>
  <c r="H9" i="2"/>
  <c r="H86" i="2"/>
  <c r="H169" i="2"/>
  <c r="H198" i="2"/>
  <c r="H172" i="2"/>
  <c r="P172" i="2" s="1"/>
  <c r="H99" i="2"/>
  <c r="P99" i="2" s="1"/>
  <c r="H46" i="2"/>
  <c r="P46" i="2" s="1"/>
  <c r="H140" i="2"/>
  <c r="H66" i="2"/>
  <c r="H160" i="2"/>
  <c r="H98" i="2"/>
  <c r="H60" i="2"/>
  <c r="H178" i="2"/>
  <c r="P178" i="2" s="1"/>
  <c r="H173" i="2"/>
  <c r="P173" i="2" s="1"/>
  <c r="H75" i="2"/>
  <c r="P75" i="2" s="1"/>
  <c r="H143" i="2"/>
  <c r="H36" i="2"/>
  <c r="H105" i="2"/>
  <c r="H109" i="2"/>
  <c r="H58" i="2"/>
  <c r="H115" i="2"/>
  <c r="H208" i="2"/>
  <c r="P208" i="2" s="1"/>
  <c r="H71" i="2"/>
  <c r="H10" i="2"/>
  <c r="P10" i="2" s="1"/>
  <c r="H149" i="2"/>
  <c r="H3" i="2"/>
  <c r="H78" i="2"/>
  <c r="H164" i="2"/>
  <c r="H11" i="2"/>
  <c r="P11" i="2" s="1"/>
  <c r="H112" i="2"/>
  <c r="P112" i="2" s="1"/>
  <c r="H87" i="2"/>
  <c r="P87" i="2" s="1"/>
  <c r="H40" i="2"/>
  <c r="H168" i="2"/>
  <c r="H135" i="2"/>
  <c r="H214" i="2"/>
  <c r="H162" i="2"/>
  <c r="P162" i="2" s="1"/>
  <c r="H104" i="2"/>
  <c r="P104" i="2" s="1"/>
  <c r="H7" i="2"/>
  <c r="H197" i="2"/>
  <c r="P197" i="2" s="1"/>
  <c r="H85" i="2"/>
  <c r="H12" i="2"/>
  <c r="H65" i="2"/>
  <c r="H35" i="2"/>
  <c r="H126" i="2"/>
  <c r="P126" i="2" s="1"/>
  <c r="H52" i="2"/>
  <c r="P52" i="2" s="1"/>
  <c r="H91" i="2"/>
  <c r="H212" i="2"/>
  <c r="H20" i="2"/>
  <c r="P20" i="2" s="1"/>
  <c r="H124" i="2"/>
  <c r="H14" i="2"/>
  <c r="H199" i="2"/>
  <c r="P198" i="2" s="1"/>
  <c r="H147" i="2"/>
  <c r="H161" i="2"/>
  <c r="P160" i="2" s="1"/>
  <c r="H158" i="2"/>
  <c r="P158" i="2" s="1"/>
  <c r="H25" i="2"/>
  <c r="P25" i="2" s="1"/>
  <c r="H6" i="2"/>
  <c r="P6" i="2" s="1"/>
  <c r="H131" i="2"/>
  <c r="H152" i="2"/>
  <c r="H34" i="2"/>
  <c r="H213" i="2"/>
  <c r="H64" i="2"/>
  <c r="P64" i="2" s="1"/>
  <c r="H92" i="2"/>
  <c r="P92" i="2" s="1"/>
  <c r="H39" i="2"/>
  <c r="P39" i="2" s="1"/>
  <c r="H194" i="2"/>
  <c r="H44" i="2"/>
  <c r="P44" i="2" s="1"/>
  <c r="H102" i="2"/>
  <c r="H203" i="2"/>
  <c r="H103" i="2"/>
  <c r="P103" i="2" s="1"/>
  <c r="H80" i="2"/>
  <c r="H176" i="2"/>
  <c r="P176" i="2" s="1"/>
  <c r="H101" i="2"/>
  <c r="P101" i="2" s="1"/>
  <c r="H114" i="2"/>
  <c r="H57" i="2"/>
  <c r="H79" i="2"/>
  <c r="P79" i="2" s="1"/>
  <c r="H183" i="2"/>
  <c r="H63" i="2"/>
  <c r="P63" i="2" s="1"/>
  <c r="H142" i="2"/>
  <c r="P142" i="2" s="1"/>
  <c r="H89" i="2"/>
  <c r="P90" i="2" s="1"/>
  <c r="H30" i="2"/>
  <c r="P30" i="2" s="1"/>
  <c r="H24" i="2"/>
  <c r="H31" i="2"/>
  <c r="H72" i="2"/>
  <c r="H192" i="2"/>
  <c r="H189" i="2"/>
  <c r="H118" i="2"/>
  <c r="P118" i="2" s="1"/>
  <c r="H193" i="2"/>
  <c r="P193" i="2" s="1"/>
  <c r="H220" i="2"/>
  <c r="H121" i="2"/>
  <c r="P121" i="2" s="1"/>
  <c r="H207" i="2"/>
  <c r="H100" i="2"/>
  <c r="H215" i="2"/>
  <c r="H195" i="2"/>
  <c r="P195" i="2" s="1"/>
  <c r="H106" i="2"/>
  <c r="P106" i="2" s="1"/>
  <c r="H54" i="2"/>
  <c r="P54" i="2" s="1"/>
  <c r="H22" i="2"/>
  <c r="P22" i="2" s="1"/>
  <c r="H117" i="2"/>
  <c r="P117" i="2" s="1"/>
  <c r="H139" i="2"/>
  <c r="H204" i="2"/>
  <c r="H186" i="2"/>
  <c r="H4" i="2"/>
  <c r="P4" i="2" s="1"/>
  <c r="H94" i="2"/>
  <c r="H59" i="2"/>
  <c r="P58" i="2" s="1"/>
  <c r="H88" i="2"/>
  <c r="P88" i="2" s="1"/>
  <c r="H82" i="2"/>
  <c r="P82" i="2" s="1"/>
  <c r="H211" i="2"/>
  <c r="P211" i="2" s="1"/>
  <c r="H181" i="2"/>
  <c r="H151" i="2"/>
  <c r="H155" i="2"/>
  <c r="P155" i="2" s="1"/>
  <c r="H218" i="2"/>
  <c r="P218" i="2" s="1"/>
  <c r="H5" i="2"/>
  <c r="P5" i="2" s="1"/>
  <c r="H157" i="2"/>
  <c r="P157" i="2" s="1"/>
  <c r="H8" i="2"/>
  <c r="P8" i="2" s="1"/>
  <c r="H67" i="2"/>
  <c r="H202" i="2"/>
  <c r="H221" i="2"/>
  <c r="H55" i="2"/>
  <c r="H19" i="2"/>
  <c r="H156" i="2"/>
  <c r="P156" i="2" s="1"/>
  <c r="H111" i="2"/>
  <c r="P111" i="2" s="1"/>
  <c r="H32" i="2"/>
  <c r="P32" i="2" s="1"/>
  <c r="H122" i="2"/>
  <c r="H48" i="2"/>
  <c r="H17" i="2"/>
  <c r="P17" i="2" s="1"/>
  <c r="H18" i="2"/>
  <c r="P18" i="2" s="1"/>
  <c r="H50" i="2"/>
  <c r="H41" i="2"/>
  <c r="P41" i="2" s="1"/>
  <c r="H125" i="2"/>
  <c r="P125" i="2" s="1"/>
  <c r="H93" i="2"/>
  <c r="H43" i="2"/>
  <c r="H90" i="2"/>
  <c r="H23" i="2"/>
  <c r="P23" i="2" s="1"/>
  <c r="H68" i="2"/>
  <c r="H83" i="2"/>
  <c r="P83" i="2" s="1"/>
  <c r="H175" i="2"/>
  <c r="P175" i="2" s="1"/>
  <c r="H127" i="2"/>
  <c r="P127" i="2" s="1"/>
  <c r="H123" i="2"/>
  <c r="P123" i="2" s="1"/>
  <c r="H56" i="2"/>
  <c r="H145" i="2"/>
  <c r="H120" i="2"/>
  <c r="H201" i="2"/>
  <c r="P201" i="2" s="1"/>
  <c r="H200" i="2"/>
  <c r="P200" i="2" s="1"/>
  <c r="H73" i="2"/>
  <c r="P73" i="2" s="1"/>
  <c r="H116" i="2"/>
  <c r="P116" i="2" s="1"/>
  <c r="H167" i="2"/>
  <c r="P167" i="2" s="1"/>
  <c r="H49" i="2"/>
  <c r="H74" i="2"/>
  <c r="H133" i="2"/>
  <c r="H179" i="2"/>
  <c r="H28" i="2"/>
  <c r="P28" i="2" s="1"/>
  <c r="H163" i="2"/>
  <c r="H53" i="2"/>
  <c r="P53" i="2" s="1"/>
  <c r="H138" i="2"/>
  <c r="P138" i="2" s="1"/>
  <c r="H130" i="2"/>
  <c r="H26" i="2"/>
  <c r="H187" i="2"/>
  <c r="H171" i="2"/>
  <c r="H191" i="2"/>
  <c r="P189" i="2" s="1"/>
  <c r="H174" i="2"/>
  <c r="P174" i="2" s="1"/>
  <c r="H136" i="2"/>
  <c r="P136" i="2" s="1"/>
  <c r="H196" i="2"/>
  <c r="P196" i="2" s="1"/>
  <c r="H210" i="2"/>
  <c r="H16" i="2"/>
  <c r="H188" i="2"/>
  <c r="H185" i="2"/>
  <c r="P185" i="2" s="1"/>
  <c r="H154" i="2"/>
  <c r="P154" i="2" s="1"/>
  <c r="H108" i="2"/>
  <c r="P108" i="2" s="1"/>
  <c r="H205" i="2"/>
  <c r="P205" i="2" s="1"/>
  <c r="H37" i="2"/>
  <c r="H13" i="2"/>
  <c r="H69" i="2"/>
  <c r="H146" i="2"/>
  <c r="P146" i="2" s="1"/>
  <c r="H165" i="2"/>
  <c r="P165" i="2" s="1"/>
  <c r="H129" i="2"/>
  <c r="P129" i="2" s="1"/>
  <c r="H29" i="2"/>
  <c r="H150" i="2"/>
  <c r="P149" i="2" s="1"/>
  <c r="H141" i="2"/>
  <c r="P141" i="2" s="1"/>
  <c r="H134" i="2"/>
  <c r="H110" i="2"/>
  <c r="H144" i="2"/>
  <c r="P144" i="2" s="1"/>
  <c r="H216" i="2"/>
  <c r="H61" i="2"/>
  <c r="P61" i="2" s="1"/>
  <c r="H76" i="2"/>
  <c r="P76" i="2" s="1"/>
  <c r="H15" i="2"/>
  <c r="P14" i="2" s="1"/>
  <c r="H21" i="2"/>
  <c r="P21" i="2" s="1"/>
  <c r="H217" i="2"/>
  <c r="H51" i="2"/>
  <c r="H96" i="2"/>
  <c r="H47" i="2"/>
  <c r="P47" i="2" s="1"/>
  <c r="H132" i="2"/>
  <c r="P132" i="2" s="1"/>
  <c r="H209" i="2"/>
  <c r="P209" i="2" s="1"/>
  <c r="H182" i="2"/>
  <c r="P182" i="2" s="1"/>
  <c r="H128" i="2"/>
  <c r="P128" i="2" s="1"/>
  <c r="H184" i="2"/>
  <c r="P184" i="2" s="1"/>
  <c r="L273" i="5" l="1"/>
  <c r="L275" i="5"/>
  <c r="K271" i="5"/>
  <c r="L271" i="5"/>
  <c r="L272" i="5"/>
  <c r="L274" i="5"/>
  <c r="K275" i="5"/>
  <c r="I272" i="5" a="1"/>
  <c r="I272" i="5" s="1"/>
  <c r="K273" i="5"/>
  <c r="J272" i="5"/>
  <c r="K274" i="5"/>
  <c r="J275" i="5"/>
  <c r="J274" i="5"/>
  <c r="I274" i="5" a="1"/>
  <c r="I274" i="5" s="1"/>
  <c r="I275" i="5" a="1"/>
  <c r="I275" i="5" s="1"/>
  <c r="H272" i="5" a="1"/>
  <c r="H272" i="5" s="1"/>
  <c r="I273" i="5" a="1"/>
  <c r="I273" i="5" s="1"/>
  <c r="H273" i="5" a="1"/>
  <c r="H273" i="5" s="1"/>
  <c r="H274" i="5" a="1"/>
  <c r="H274" i="5" s="1"/>
  <c r="K272" i="5"/>
  <c r="H275" i="5" a="1"/>
  <c r="H275" i="5" s="1"/>
  <c r="J273" i="5"/>
  <c r="G221" i="5" a="1"/>
  <c r="G221" i="5" s="1"/>
  <c r="G222" i="5" a="1"/>
  <c r="G222" i="5" s="1"/>
  <c r="G220" i="5" a="1"/>
  <c r="G220" i="5" s="1"/>
  <c r="D188" i="5"/>
  <c r="P215" i="2"/>
  <c r="P187" i="2"/>
  <c r="P36" i="2"/>
  <c r="P221" i="2"/>
  <c r="P70" i="2"/>
  <c r="P190" i="2"/>
  <c r="P15" i="2"/>
  <c r="P188" i="2"/>
  <c r="P191" i="2"/>
  <c r="P80" i="2"/>
  <c r="P115" i="2"/>
  <c r="P107" i="2"/>
  <c r="P69" i="2"/>
  <c r="P56" i="2"/>
  <c r="P213" i="2"/>
  <c r="P147" i="2"/>
  <c r="P164" i="2"/>
  <c r="P59" i="2"/>
  <c r="P60" i="2"/>
  <c r="P199" i="2"/>
  <c r="P159" i="2"/>
  <c r="P38" i="2"/>
  <c r="P97" i="2"/>
  <c r="P163" i="2"/>
  <c r="P96" i="2"/>
  <c r="P120" i="2"/>
  <c r="P110" i="2"/>
  <c r="P177" i="2"/>
  <c r="P212" i="2"/>
  <c r="P91" i="2"/>
  <c r="P50" i="2"/>
  <c r="P179" i="2"/>
  <c r="P220" i="2"/>
  <c r="P186" i="2"/>
  <c r="P192" i="2"/>
  <c r="P203" i="2"/>
  <c r="P35" i="2"/>
  <c r="P78" i="2"/>
  <c r="P169" i="2"/>
  <c r="P51" i="2"/>
  <c r="P109" i="2"/>
  <c r="P68" i="2"/>
  <c r="P26" i="2"/>
  <c r="P74" i="2"/>
  <c r="P145" i="2"/>
  <c r="P89" i="2"/>
  <c r="P48" i="2"/>
  <c r="P202" i="2"/>
  <c r="P181" i="2"/>
  <c r="P204" i="2"/>
  <c r="P100" i="2"/>
  <c r="P72" i="2"/>
  <c r="P102" i="2"/>
  <c r="P152" i="2"/>
  <c r="P16" i="2"/>
  <c r="P65" i="2"/>
  <c r="P135" i="2"/>
  <c r="P3" i="2"/>
  <c r="P105" i="2"/>
  <c r="P161" i="2"/>
  <c r="P85" i="2"/>
  <c r="P34" i="2"/>
  <c r="P27" i="2"/>
  <c r="P170" i="2"/>
  <c r="P19" i="2"/>
  <c r="P171" i="2"/>
  <c r="P133" i="2"/>
  <c r="P151" i="2"/>
  <c r="P216" i="2"/>
  <c r="P183" i="2"/>
  <c r="P33" i="2"/>
  <c r="P214" i="2"/>
  <c r="P98" i="2"/>
  <c r="P217" i="2"/>
  <c r="P134" i="2"/>
  <c r="P13" i="2"/>
  <c r="P210" i="2"/>
  <c r="P130" i="2"/>
  <c r="P49" i="2"/>
  <c r="P55" i="2"/>
  <c r="P43" i="2"/>
  <c r="P122" i="2"/>
  <c r="P67" i="2"/>
  <c r="P139" i="2"/>
  <c r="P207" i="2"/>
  <c r="P31" i="2"/>
  <c r="P57" i="2"/>
  <c r="P131" i="2"/>
  <c r="P124" i="2"/>
  <c r="P12" i="2"/>
  <c r="P168" i="2"/>
  <c r="P150" i="2"/>
  <c r="P37" i="2"/>
  <c r="P66" i="2"/>
  <c r="P9" i="2"/>
  <c r="P180" i="2"/>
  <c r="P153" i="2"/>
  <c r="P137" i="2"/>
  <c r="P7" i="2"/>
  <c r="P93" i="2"/>
  <c r="P24" i="2"/>
  <c r="P114" i="2"/>
  <c r="P194" i="2"/>
  <c r="P84" i="2"/>
  <c r="P40" i="2"/>
  <c r="P143" i="2"/>
  <c r="P140" i="2"/>
  <c r="P62" i="2"/>
  <c r="P42" i="2"/>
  <c r="P86" i="2"/>
  <c r="P29" i="2"/>
  <c r="P71" i="2"/>
  <c r="P166" i="2"/>
  <c r="P2" i="2"/>
  <c r="P94" i="2"/>
  <c r="N22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F35F0E-3471-46A9-B1BF-BE2B60902490}" sourceFile="C:\Users\W10\Downloads\Data_Penjualan_NusantaraMart_2025.xlsx" odcFile="C:\Users\W10\Documents\My Data Sources\Data_Penjualan_NusantaraMart_2025.odc" keepAlive="1" name="Data_Penjualan_NusantaraMart_2025" type="5" refreshedVersion="7" background="1" saveData="1">
    <dbPr connection="Provider=Microsoft.ACE.OLEDB.12.0;User ID=Admin;Data Source=C:\Users\W10\Downloads\Data_Penjualan_NusantaraMart_2025.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ta Penjualan$'" commandType="3"/>
  </connection>
  <connection id="2" xr16:uid="{954281B2-B013-44CA-A66E-CB62645067C0}" sourceFile="C:\Users\W10\Downloads\Data_Penjualan_NusantaraMart_2025.xlsx" odcFile="C:\Users\W10\Documents\My Data Sources\Data_Penjualan_NusantaraMart_2025 'Data Penjualan$'.od.odc" keepAlive="1" name="Data_Penjualan_NusantaraMart_2025 'Data Penjualan$'.od" type="5" refreshedVersion="7" background="1">
    <dbPr connection="Provider=Microsoft.ACE.OLEDB.12.0;User ID=Admin;Data Source=C:\Users\W10\Downloads\Data_Penjualan_NusantaraMart_2025.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ta Penjualan$'" commandType="3"/>
  </connection>
</connections>
</file>

<file path=xl/sharedStrings.xml><?xml version="1.0" encoding="utf-8"?>
<sst xmlns="http://schemas.openxmlformats.org/spreadsheetml/2006/main" count="2038" uniqueCount="645">
  <si>
    <t>Order_ID</t>
  </si>
  <si>
    <t>Tanggal_Order</t>
  </si>
  <si>
    <t>Wilayah</t>
  </si>
  <si>
    <t>Kategori_Produk</t>
  </si>
  <si>
    <t>Nama_Produk</t>
  </si>
  <si>
    <t>Jumlah</t>
  </si>
  <si>
    <t>Harga_Satuan</t>
  </si>
  <si>
    <t>Total_Penjualan</t>
  </si>
  <si>
    <t>Metode_Pembayaran</t>
  </si>
  <si>
    <t>Segmen_Pelanggan</t>
  </si>
  <si>
    <t>ORD-1061</t>
  </si>
  <si>
    <t>Elektronik</t>
  </si>
  <si>
    <t>Mouse Wireless</t>
  </si>
  <si>
    <t>Transfer Bank</t>
  </si>
  <si>
    <t>Retail</t>
  </si>
  <si>
    <t>ORD-1149</t>
  </si>
  <si>
    <t>Semarang</t>
  </si>
  <si>
    <t>Kecantikan</t>
  </si>
  <si>
    <t>Lotion Pelembab</t>
  </si>
  <si>
    <t>COD</t>
  </si>
  <si>
    <t>ORD-1098</t>
  </si>
  <si>
    <t>Medan</t>
  </si>
  <si>
    <t>Masker Wajah</t>
  </si>
  <si>
    <t>Reseller</t>
  </si>
  <si>
    <t>ORD-1067</t>
  </si>
  <si>
    <t>Denpasar</t>
  </si>
  <si>
    <t>E-Wallet</t>
  </si>
  <si>
    <t>ORD-1121</t>
  </si>
  <si>
    <t>Surabaya</t>
  </si>
  <si>
    <t>Kabel Data USB-C</t>
  </si>
  <si>
    <t>ORD-1118</t>
  </si>
  <si>
    <t>Fashion</t>
  </si>
  <si>
    <t>Jaket Hoodie</t>
  </si>
  <si>
    <t>Kartu Kredit</t>
  </si>
  <si>
    <t>ORD-1097</t>
  </si>
  <si>
    <t>Palembang</t>
  </si>
  <si>
    <t>Kemeja Flanel</t>
  </si>
  <si>
    <t>QRIS</t>
  </si>
  <si>
    <t>ORD-1025</t>
  </si>
  <si>
    <t>Speaker Portable</t>
  </si>
  <si>
    <t>ORD-1096</t>
  </si>
  <si>
    <t>ORD-1180</t>
  </si>
  <si>
    <t>Bandung</t>
  </si>
  <si>
    <t>ORD-1012</t>
  </si>
  <si>
    <t>ORD-1075</t>
  </si>
  <si>
    <t>Yogyakarta</t>
  </si>
  <si>
    <t>Serum Vitamin C</t>
  </si>
  <si>
    <t>ORD-1081</t>
  </si>
  <si>
    <t>Olahraga</t>
  </si>
  <si>
    <t>Matras Yoga</t>
  </si>
  <si>
    <t>ORD-1003</t>
  </si>
  <si>
    <t>Malang</t>
  </si>
  <si>
    <t>ORD-1151</t>
  </si>
  <si>
    <t>Sabun Cuci Muka</t>
  </si>
  <si>
    <t>ORD-1023</t>
  </si>
  <si>
    <t>Rumah Tangga</t>
  </si>
  <si>
    <t>Wajan Anti Lengket</t>
  </si>
  <si>
    <t>ORD-1105</t>
  </si>
  <si>
    <t>Botol Minum 1L</t>
  </si>
  <si>
    <t>Grosir</t>
  </si>
  <si>
    <t>ORD-1172</t>
  </si>
  <si>
    <t>Power Bank 10000mAh</t>
  </si>
  <si>
    <t>ORD-1109</t>
  </si>
  <si>
    <t>ORD-1079</t>
  </si>
  <si>
    <t>Jakarta</t>
  </si>
  <si>
    <t>ORD-1099</t>
  </si>
  <si>
    <t>Botol Shaker</t>
  </si>
  <si>
    <t>ORD-1126</t>
  </si>
  <si>
    <t>ORD-1135</t>
  </si>
  <si>
    <t>ORD-1170</t>
  </si>
  <si>
    <t>Topi Baseball</t>
  </si>
  <si>
    <t>ORD-1047</t>
  </si>
  <si>
    <t>ORD-1202</t>
  </si>
  <si>
    <t>ORD-1083</t>
  </si>
  <si>
    <t>ORD-1157</t>
  </si>
  <si>
    <t>Charger Fast Charging</t>
  </si>
  <si>
    <t>ORD-1218</t>
  </si>
  <si>
    <t>Tali Skipping</t>
  </si>
  <si>
    <t>ORD-1103</t>
  </si>
  <si>
    <t>ORD-1107</t>
  </si>
  <si>
    <t>Makassar</t>
  </si>
  <si>
    <t>ORD-1220</t>
  </si>
  <si>
    <t>ORD-1035</t>
  </si>
  <si>
    <t>ORD-1208</t>
  </si>
  <si>
    <t>Kaos Polos</t>
  </si>
  <si>
    <t>ORD-1095</t>
  </si>
  <si>
    <t>ORD-1066</t>
  </si>
  <si>
    <t>ORD-1179</t>
  </si>
  <si>
    <t>ORD-1122</t>
  </si>
  <si>
    <t>Resistance Band</t>
  </si>
  <si>
    <t>ORD-1207</t>
  </si>
  <si>
    <t>ORD-1166</t>
  </si>
  <si>
    <t>Kotak Penyimpanan</t>
  </si>
  <si>
    <t>ORD-1010</t>
  </si>
  <si>
    <t>ORD-1064</t>
  </si>
  <si>
    <t>ORD-1110</t>
  </si>
  <si>
    <t>ORD-1164</t>
  </si>
  <si>
    <t>Sapu Lidi</t>
  </si>
  <si>
    <t>ORD-1106</t>
  </si>
  <si>
    <t>ORD-1058</t>
  </si>
  <si>
    <t>ORD-1210</t>
  </si>
  <si>
    <t>ORD-1140</t>
  </si>
  <si>
    <t>ORD-1102</t>
  </si>
  <si>
    <t>ORD-1015</t>
  </si>
  <si>
    <t>ORD-1028</t>
  </si>
  <si>
    <t>ORD-1041</t>
  </si>
  <si>
    <t>ORD-1046</t>
  </si>
  <si>
    <t>ORD-1159</t>
  </si>
  <si>
    <t>ORD-1032</t>
  </si>
  <si>
    <t>ORD-1171</t>
  </si>
  <si>
    <t>ORD-1134</t>
  </si>
  <si>
    <t>ORD-1033</t>
  </si>
  <si>
    <t>ORD-1014</t>
  </si>
  <si>
    <t>ORD-1132</t>
  </si>
  <si>
    <t>ORD-1089</t>
  </si>
  <si>
    <t>ORD-1144</t>
  </si>
  <si>
    <t>ORD-1029</t>
  </si>
  <si>
    <t>Rak Sepatu Lipat</t>
  </si>
  <si>
    <t>ORD-1019</t>
  </si>
  <si>
    <t>ORD-1127</t>
  </si>
  <si>
    <t>ORD-1155</t>
  </si>
  <si>
    <t>Celana Jeans</t>
  </si>
  <si>
    <t>ORD-1016</t>
  </si>
  <si>
    <t>ORD-1100</t>
  </si>
  <si>
    <t>ORD-1059</t>
  </si>
  <si>
    <t>ORD-1037</t>
  </si>
  <si>
    <t>ORD-1142</t>
  </si>
  <si>
    <t>Earphone Bluetooth</t>
  </si>
  <si>
    <t>ORD-1200</t>
  </si>
  <si>
    <t>ORD-1052</t>
  </si>
  <si>
    <t>ORD-1187</t>
  </si>
  <si>
    <t>ORD-1154</t>
  </si>
  <si>
    <t>ORD-1165</t>
  </si>
  <si>
    <t>ORD-1201</t>
  </si>
  <si>
    <t>ORD-1085</t>
  </si>
  <si>
    <t>ORD-1130</t>
  </si>
  <si>
    <t>ORD-1141</t>
  </si>
  <si>
    <t>ORD-1195</t>
  </si>
  <si>
    <t>ORD-1038</t>
  </si>
  <si>
    <t>ORD-1178</t>
  </si>
  <si>
    <t>ORD-1086</t>
  </si>
  <si>
    <t>ORD-1115</t>
  </si>
  <si>
    <t>ORD-1209</t>
  </si>
  <si>
    <t>ORD-1050</t>
  </si>
  <si>
    <t>ORD-1114</t>
  </si>
  <si>
    <t>ORD-1006</t>
  </si>
  <si>
    <t>ORD-1018</t>
  </si>
  <si>
    <t>ORD-1133</t>
  </si>
  <si>
    <t>ORD-1188</t>
  </si>
  <si>
    <t>ORD-1199</t>
  </si>
  <si>
    <t>ORD-1116</t>
  </si>
  <si>
    <t>ORD-1087</t>
  </si>
  <si>
    <t>ORD-1063</t>
  </si>
  <si>
    <t>ORD-1065</t>
  </si>
  <si>
    <t>ORD-1027</t>
  </si>
  <si>
    <t>ORD-1042</t>
  </si>
  <si>
    <t>ORD-1053</t>
  </si>
  <si>
    <t>ORD-1163</t>
  </si>
  <si>
    <t>ORD-1194</t>
  </si>
  <si>
    <t>ORD-1082</t>
  </si>
  <si>
    <t>ORD-1008</t>
  </si>
  <si>
    <t>ORD-1092</t>
  </si>
  <si>
    <t>ORD-1196</t>
  </si>
  <si>
    <t>ORD-1148</t>
  </si>
  <si>
    <t>ORD-1071</t>
  </si>
  <si>
    <t>ORD-1216</t>
  </si>
  <si>
    <t>ORD-1167</t>
  </si>
  <si>
    <t>ORD-1009</t>
  </si>
  <si>
    <t>ORD-1117</t>
  </si>
  <si>
    <t>ORD-1080</t>
  </si>
  <si>
    <t>ORD-1139</t>
  </si>
  <si>
    <t>ORD-1215</t>
  </si>
  <si>
    <t>ORD-1030</t>
  </si>
  <si>
    <t>ORD-1004</t>
  </si>
  <si>
    <t>ORD-1040</t>
  </si>
  <si>
    <t>ORD-1051</t>
  </si>
  <si>
    <t>ORD-1078</t>
  </si>
  <si>
    <t>ORD-1183</t>
  </si>
  <si>
    <t>ORD-1112</t>
  </si>
  <si>
    <t>ORD-1129</t>
  </si>
  <si>
    <t>ORD-1055</t>
  </si>
  <si>
    <t>ORD-1123</t>
  </si>
  <si>
    <t>ORD-1091</t>
  </si>
  <si>
    <t>ORD-1190</t>
  </si>
  <si>
    <t>ORD-1044</t>
  </si>
  <si>
    <t>ORD-1158</t>
  </si>
  <si>
    <t>ORD-1049</t>
  </si>
  <si>
    <t>ORD-1169</t>
  </si>
  <si>
    <t>ORD-1060</t>
  </si>
  <si>
    <t>ORD-1054</t>
  </si>
  <si>
    <t>ORD-1021</t>
  </si>
  <si>
    <t>ORD-1125</t>
  </si>
  <si>
    <t>ORD-1211</t>
  </si>
  <si>
    <t>ORD-1146</t>
  </si>
  <si>
    <t>ORD-1077</t>
  </si>
  <si>
    <t>ORD-1191</t>
  </si>
  <si>
    <t>ORD-1108</t>
  </si>
  <si>
    <t>ORD-1175</t>
  </si>
  <si>
    <t>ORD-1013</t>
  </si>
  <si>
    <t>ORD-1017</t>
  </si>
  <si>
    <t>ORD-1048</t>
  </si>
  <si>
    <t>ORD-1162</t>
  </si>
  <si>
    <t>ORD-1120</t>
  </si>
  <si>
    <t>ORD-1022</t>
  </si>
  <si>
    <t>ORD-1147</t>
  </si>
  <si>
    <t>ORD-1181</t>
  </si>
  <si>
    <t>ORD-1131</t>
  </si>
  <si>
    <t>ORD-1205</t>
  </si>
  <si>
    <t>ORD-1074</t>
  </si>
  <si>
    <t>ORD-1031</t>
  </si>
  <si>
    <t>ORD-1161</t>
  </si>
  <si>
    <t>ORD-1034</t>
  </si>
  <si>
    <t>ORD-1185</t>
  </si>
  <si>
    <t>ORD-1156</t>
  </si>
  <si>
    <t>ORD-1198</t>
  </si>
  <si>
    <t>ORD-1124</t>
  </si>
  <si>
    <t>ORD-1101</t>
  </si>
  <si>
    <t>ORD-1150</t>
  </si>
  <si>
    <t>ORD-1174</t>
  </si>
  <si>
    <t>ORD-1219</t>
  </si>
  <si>
    <t>ORD-1204</t>
  </si>
  <si>
    <t>ORD-1062</t>
  </si>
  <si>
    <t>ORD-1036</t>
  </si>
  <si>
    <t>ORD-1011</t>
  </si>
  <si>
    <t>ORD-1214</t>
  </si>
  <si>
    <t>ORD-1072</t>
  </si>
  <si>
    <t>ORD-1217</t>
  </si>
  <si>
    <t>ORD-1203</t>
  </si>
  <si>
    <t>ORD-1094</t>
  </si>
  <si>
    <t>ORD-1160</t>
  </si>
  <si>
    <t>ORD-1119</t>
  </si>
  <si>
    <t>ORD-1145</t>
  </si>
  <si>
    <t>ORD-1002</t>
  </si>
  <si>
    <t>ORD-1206</t>
  </si>
  <si>
    <t>ORD-1084</t>
  </si>
  <si>
    <t>ORD-1213</t>
  </si>
  <si>
    <t>ORD-1088</t>
  </si>
  <si>
    <t>ORD-1138</t>
  </si>
  <si>
    <t>ORD-1005</t>
  </si>
  <si>
    <t>ORD-1039</t>
  </si>
  <si>
    <t>ORD-1193</t>
  </si>
  <si>
    <t>ORD-1113</t>
  </si>
  <si>
    <t>ORD-1182</t>
  </si>
  <si>
    <t>ORD-1184</t>
  </si>
  <si>
    <t>ORD-1153</t>
  </si>
  <si>
    <t>ORD-1057</t>
  </si>
  <si>
    <t>ORD-1070</t>
  </si>
  <si>
    <t>ORD-1192</t>
  </si>
  <si>
    <t>ORD-1045</t>
  </si>
  <si>
    <t>ORD-1189</t>
  </si>
  <si>
    <t>ORD-1020</t>
  </si>
  <si>
    <t>ORD-1007</t>
  </si>
  <si>
    <t>ORD-1056</t>
  </si>
  <si>
    <t>ORD-1076</t>
  </si>
  <si>
    <t>ORD-1001</t>
  </si>
  <si>
    <t>ORD-1173</t>
  </si>
  <si>
    <t>ORD-1136</t>
  </si>
  <si>
    <t>ORD-1128</t>
  </si>
  <si>
    <t>ORD-1177</t>
  </si>
  <si>
    <t>ORD-1069</t>
  </si>
  <si>
    <t>ORD-1168</t>
  </si>
  <si>
    <t>ORD-1137</t>
  </si>
  <si>
    <t>ORD-1043</t>
  </si>
  <si>
    <t>ORD-1111</t>
  </si>
  <si>
    <t>ORD-1090</t>
  </si>
  <si>
    <t>ORD-1073</t>
  </si>
  <si>
    <t>ORD-1024</t>
  </si>
  <si>
    <t>ORD-1143</t>
  </si>
  <si>
    <t>ORD-1186</t>
  </si>
  <si>
    <t>ORD-1093</t>
  </si>
  <si>
    <t>ORD-1104</t>
  </si>
  <si>
    <t>ORD-1152</t>
  </si>
  <si>
    <t>ORD-1212</t>
  </si>
  <si>
    <t>ORD-1068</t>
  </si>
  <si>
    <t>ORD-1026</t>
  </si>
  <si>
    <t>ORD-1197</t>
  </si>
  <si>
    <t>ORD-1176</t>
  </si>
  <si>
    <t>Nn</t>
  </si>
  <si>
    <t>hargasatuan</t>
  </si>
  <si>
    <t>rentangdate</t>
  </si>
  <si>
    <t>totalpenjualan</t>
  </si>
  <si>
    <t>Jumlah Baris Awal</t>
  </si>
  <si>
    <t>Jumlah Baris Setelah Cleaning</t>
  </si>
  <si>
    <t>Jumlah Baris Dihapus</t>
  </si>
  <si>
    <t>Ringkasan</t>
  </si>
  <si>
    <t>Tabel log</t>
  </si>
  <si>
    <t>No</t>
  </si>
  <si>
    <t>Jenis Masalah</t>
  </si>
  <si>
    <t>Kolom Terdampak</t>
  </si>
  <si>
    <t>Jumlah Baris</t>
  </si>
  <si>
    <t>Order_ID Terkait</t>
  </si>
  <si>
    <t>Tindakan</t>
  </si>
  <si>
    <t>Missing Value</t>
  </si>
  <si>
    <t>ORD-1154, ORD-1082, ORD-1148</t>
  </si>
  <si>
    <t>Isi dengan "NN"</t>
  </si>
  <si>
    <t>ORD-1209, ORD-1188, ORD-1060</t>
  </si>
  <si>
    <t>Alasan Keputusan</t>
  </si>
  <si>
    <t>Masih terdapat transaksi valid(produk, jumlah, harga,total). Tidak terdapat kolom lain yang dapat digunakan untuk menelusuri wilayah asli. Menghapus akan membuang data sah dan menebak akan mendistorsi analisis geografis.</t>
  </si>
  <si>
    <t>Sama seperti diatas, tidak ada pola yang kuat antar Segmen_Pelanggan untuk menebak data metode transaksi ang hilang.</t>
  </si>
  <si>
    <t>Duplikasi baris</t>
  </si>
  <si>
    <t>Seluruh kolom</t>
  </si>
  <si>
    <t>ORD-1035, ORD-1092, ORD-1106, ORD-1181</t>
  </si>
  <si>
    <t>Hapus duplikat data kedua dan hanya sisakan data pertama.</t>
  </si>
  <si>
    <t>isi baris identik 100% dengan baris pertama, jika dibiarkan maka akan menimbulkan kenaikan jumlah penjualan palsu.</t>
  </si>
  <si>
    <t>Inkonsistensi penulisan</t>
  </si>
  <si>
    <t>Beberapa (bandung/BANDUNG, Makasar/MAKASAR, Medan/MEDAN, Surabaya/SURABAYA</t>
  </si>
  <si>
    <t>-</t>
  </si>
  <si>
    <t>Mengubah menjadi bentuk standar dengan menggunakan PROPER (Capitalize)</t>
  </si>
  <si>
    <t>Variasi huruf yang berbeda (besar/kecil) dapat menyebabkan kota yang sama terbaca/terhitung sebagai kategori kota yang berbeda pada saat gouping atau menggunakan pivot tabel.</t>
  </si>
  <si>
    <t>Validasi tipe data dan rentang</t>
  </si>
  <si>
    <t>Jumlah, Harga_Satuan, Tanggal_Order</t>
  </si>
  <si>
    <t>0 (tidak terdapat anomali)</t>
  </si>
  <si>
    <t>Tidak ada tindakan</t>
  </si>
  <si>
    <t>Semua nilai Jumlah dan Harga_Satuan positif, semua tanggal dalam rentang 1 Jan-31 Des 2025, Total_Penjualan konsisten dengan Jumlah X Harga_Satuan</t>
  </si>
  <si>
    <t>Total Penjualan</t>
  </si>
  <si>
    <t>Total Unit Terjual</t>
  </si>
  <si>
    <t>Bulan</t>
  </si>
  <si>
    <t>Row Labels</t>
  </si>
  <si>
    <t>Grand Total</t>
  </si>
  <si>
    <t>Sum of Total_Penjualan</t>
  </si>
  <si>
    <t>Max</t>
  </si>
  <si>
    <t>Min</t>
  </si>
  <si>
    <t>January</t>
  </si>
  <si>
    <t>February</t>
  </si>
  <si>
    <t>March</t>
  </si>
  <si>
    <t>April</t>
  </si>
  <si>
    <t>May</t>
  </si>
  <si>
    <t>June</t>
  </si>
  <si>
    <t>July</t>
  </si>
  <si>
    <t>August</t>
  </si>
  <si>
    <t>September</t>
  </si>
  <si>
    <t>October</t>
  </si>
  <si>
    <t>November</t>
  </si>
  <si>
    <t>December</t>
  </si>
  <si>
    <t>Bulan penjualan tertinggi</t>
  </si>
  <si>
    <t>Bulan penjualan terrendah</t>
  </si>
  <si>
    <t>Count of Jumlah</t>
  </si>
  <si>
    <r>
      <rPr>
        <b/>
        <sz val="11"/>
        <color theme="1"/>
        <rFont val="Calibri"/>
        <family val="2"/>
      </rPr>
      <t>Tren Keseluruhan:</t>
    </r>
    <r>
      <rPr>
        <sz val="11"/>
        <color theme="1"/>
        <rFont val="Calibri"/>
        <family val="2"/>
        <charset val="1"/>
      </rPr>
      <t xml:space="preserve"> Terjadi penurunan secara perlahan mulai dari Januari sampai Juli yang menjadi titik terendahnya, kemudian pada Agustus mengalami lonjakan tajam dan sempat anjlok kembali pada September. Kemudia naik kuat pada Oktober dan kembali mengalami penurunan yang stabil pada November sampai Desember. bukan merupakan tren linear naik atau turun karena polanya zig-zag, jadi tidak terdapat musim yang jelas seperti high season dan low season yang kosisten, sehingga berdasarkan data yang ditampilkan daam chart terlihat lebih ke flutuasi per bulan.</t>
    </r>
  </si>
  <si>
    <r>
      <rPr>
        <b/>
        <sz val="11"/>
        <color theme="1"/>
        <rFont val="Calibri"/>
        <family val="2"/>
      </rPr>
      <t>Penjualan tertingg</t>
    </r>
    <r>
      <rPr>
        <sz val="11"/>
        <color theme="1"/>
        <rFont val="Calibri"/>
        <family val="2"/>
        <charset val="1"/>
      </rPr>
      <t>i pada bulan Oktober dengan total penjualan Rp36.743.000 dari 26 transakasi.</t>
    </r>
  </si>
  <si>
    <t>Kemungkinan penyebab berdasarkan pola data(perlu dikonfirmasi ke tim marketing/penjualan: kategori elektronik yang paling dominan dengan total penjualan mencapai Rp14.039.000 pada bulan tersebut(jauh diatas penjualan kategori lainnya).</t>
  </si>
  <si>
    <t>Kemungkinan penyebab: jumlah transaksi termasuk yang paling sedikit sepanjang tahun. Kategori kecantikan paling dominan dengan total penjualan RP4.674.000(produk umumnya bernilai lebih kecil dari kategori elektronik). Jadi selain transaksi sedikit, nilai rata-rata setiap transaksi juga lebih rendah. Bisa jadi karena musim liburan sekolah atau pertengahan tahun yang menyebabkan menurunnya aktivitas belanja namun ini hanya spekulasi jadi perlu dicek ulang dengan data eksternal seperti kalender promo, cuti bersama, dsb untuk dilakukan konfirmasi.</t>
  </si>
  <si>
    <r>
      <rPr>
        <b/>
        <sz val="11"/>
        <color theme="1"/>
        <rFont val="Calibri"/>
        <family val="2"/>
      </rPr>
      <t>Pejualan terendah</t>
    </r>
    <r>
      <rPr>
        <sz val="11"/>
        <color theme="1"/>
        <rFont val="Calibri"/>
        <family val="2"/>
        <charset val="1"/>
      </rPr>
      <t xml:space="preserve"> pada bulan Juli dengan total penjualan Rp13.325.000 dari 14 transaksi.</t>
    </r>
  </si>
  <si>
    <t>persentasi kontribusi</t>
  </si>
  <si>
    <t>persentasi kumulatif</t>
  </si>
  <si>
    <t>Jumlah Transaksi</t>
  </si>
  <si>
    <t>Penjualan tertinggi berasal dari Semarang, Makasar, Surabaya dan Medan dengan menyumbang 50.19% penjualan dan total penjualan dimana persentase penjualan tersebut dapat dikatakan cukup merata (tidak ada dominasi ekstrem dari daerah lain).</t>
  </si>
  <si>
    <t>Wilayah dengan penjualan terkecil adalah Denpasar dengan menyumbang 5.99% penjualan dari total penjualan keseluruhan dengan jumlah transaksi yang sama dengan dengan kota Palembang yakni 17 transaksi.</t>
  </si>
  <si>
    <t>Terdapat 0.71% penjualan yang berasal dari wilayah yang  tidak diketahui (Nn) yang tadinya adalah 3 baris yang kosong di kolom wilayah namun tetap memiliki transaksi yang solid.</t>
  </si>
  <si>
    <t>Kategori</t>
  </si>
  <si>
    <t>Jumlah Terjual</t>
  </si>
  <si>
    <t>Jumlah terjual</t>
  </si>
  <si>
    <t>Kontribusi</t>
  </si>
  <si>
    <t>Nama Produk</t>
  </si>
  <si>
    <t>Berdasarkan data diatas kategori fashion mendominasi penjualan dengan total penjualan Rp81.388.000 dengan 175 produk terjual dari 50 transaksi.</t>
  </si>
  <si>
    <t>Berdasarkan dari data penjualan terrendah sebenarnya Kotak Penyimpanan memiliki jumlah terjual yang cukup banyak yakni 153 produk terjual dari 11 transaksi namun karena harga produk tergolong rendah sehingga jumlah penjualan tidak termasuk dalam 5 produk terlaris.</t>
  </si>
  <si>
    <t>Count of Order_ID</t>
  </si>
  <si>
    <t>Segmen Pelanggan</t>
  </si>
  <si>
    <t>Rata-rata Penjualan</t>
  </si>
  <si>
    <t>AOV Grosir tertinggi yakni Rp1,760,280 hal ini bisa terjadi karena biasanya untuk pembelian grosir pasti dalam jumlah besar dalam sekali transaksi namun jumlah transaksinya sedikit yakni 25 transaksi sehingga kontribusi dalam penjualannya adalah 15,68% meskipun jumlah total transaksinya besar.</t>
  </si>
  <si>
    <t>Retail mendominasi penjualan dengan kontribusi penjualan sebesar 59,31% meskipun  AOV berada di tengah yakni Rp1,310,583 hal ini karena volume transaksi yang jauh lebih banyak yakni 127 transaksi. Jadi retail bisa dikatakan sumber transaksi terbanyak karena banyaknya jumlah transaksi bukan karena nilai per transaksinya.</t>
  </si>
  <si>
    <t>Average of Total_Penjualan2</t>
  </si>
  <si>
    <t>Berdasarkan data diatas metode pembayaran banyak menggunakan QRIS dengan total nilai transaksi Rp80,007,000 dari 57 transaksi dimana rata-rata nilai pada setiap transaksi adalah Rp1,403,632 kemudian di susul diurutan kedua ada E-Wallet dengan total nilai transaksi Rp53,448,000 dari 41 transaksi. Kemungkinan besaran nilai transaksi berhubungan dengan metode pembayaran yang digunakan dalam hal ini pelanggan paling banyak menggunakan QRIS karena kemudahan dalam melakukan transaksi.</t>
  </si>
  <si>
    <t>Hal lain yang perlu ditelusuri yakni pelanggan yang tidak diketahui metode pembayarannya karena jumlah rata-rata untuk setiap transaksinya paling tinggi, kemungkinan terjadi miss kategori metode pembayaran.</t>
  </si>
  <si>
    <t>AOV Reseller paling rendah yakni Rp1,032,088 hal ini cukup mengejutkan karena biasanya reseller beli lebih banyak dari retail untuk di jual kembali namun dari data diatas diketahui bahwa jumlah transaksi reseller 68 transaksi hampir 50% dari jumlah transaksi retail. Pola ini layak untuk ditelusuri lebih lanjut apakah reseller memang melakukan transaksi kecil-kecil atau ada miss kategori dari segmen pelanggan.</t>
  </si>
  <si>
    <t>Column Labels</t>
  </si>
  <si>
    <t>Bulan Puncak</t>
  </si>
  <si>
    <t>Nilai Tertinggi</t>
  </si>
  <si>
    <t>Rasio vs rata-rata</t>
  </si>
  <si>
    <t>Bulan Penjualan Terendah</t>
  </si>
  <si>
    <t>Terdapat pola musiman yang jelas khusunya untuk kategori elektronik dimana pada bulan Agustus, Oktober, November dimana semua penjualan lebih dari Rp10 juta, tapi anjlok ada bulan Juni dimana tidak terdapat penjualan pada bulan tersebut. Kemudian pada Maret, Mei, Juli, September penjualan mendekati nol. Ini merupakan pola yag sangat mencolok karena kemungkinan terkait momentum menjelang akhir tahun (promo natal/akhir tahun/tahun baru/promo harbolnas/11.11/12.12) yang memang lazim untuk kategori elektronik.</t>
  </si>
  <si>
    <t>Untuk kategori rumah tangga juga menglamai fluktuatif yang cukup tinggi dimana penjualan tertinggi pada bulan agustus dan terendah pada bulan April yang mana terjadi lonjakan 2,29x dari rata-ta bulan Agustus. Namun kurang jelas pola musimannya berbeda dengan elektronik yang pola musiman terlihat jelas condong ke akhir tahun.</t>
  </si>
  <si>
    <t>Kategori fashion tergolong tergolong yang paling stabil diantara yang lain dan puncak penjualan tertinggi pada bulan Maret, hal ini bisa jadi karena pergantian musim atau awal tahun ajaran atau adanya promo tertentu.</t>
  </si>
  <si>
    <t>Untuk kategori kecantiknya puncak penjualan tertinggi pada Juli berbeda dengan yang kategori lain yagn cenderung ramai pada kuarta 4 , hal ini menarik untuk digali lebih lanjut.</t>
  </si>
  <si>
    <t>Kategori olahraga penjualan tertinggi pada Oktober dimana hal ini kemungkinan terjadi karena adanya promo akhir tahun atau harbolnas yang biasanya terjadi pada sekita bulan tersebut.</t>
  </si>
  <si>
    <t>Tinggi</t>
  </si>
  <si>
    <t>Sedang</t>
  </si>
  <si>
    <t>Rendah</t>
  </si>
  <si>
    <t>Rekomendasi Stragegi per Kelompok</t>
  </si>
  <si>
    <t>pertahankan dan perkuat serta pastikan stok dan layanan tida jadi bottleneck di kota-kota ini</t>
  </si>
  <si>
    <t>uji coba produk baru atau kategori premium disini karena basis pelanggan sudah terbukti kuat dari data diatas.</t>
  </si>
  <si>
    <t>pertimbangkan program loyalitas guna mempertahankan pelanggan reguler</t>
  </si>
  <si>
    <t>Ada peluang untuk tumbuh, bisa lakukan indentifikasi kategori produk yang penjualannya rendah di kota-kota ini</t>
  </si>
  <si>
    <t>Lakukan promosi terarah agar mendorong ke penjualan yang lebih tinggi misal dengan memberikan diskon untuk produk tertentu</t>
  </si>
  <si>
    <t>Khusus untuk kota Jakarta layak untuk digali kenapa kontribusi penjualan hanya 9,01% sedangkan Jakarta termasuk kota besar di Indonesia. Apakah karena kompetisi yang lebih ketat atau preferensi belanja yang berbeda.</t>
  </si>
  <si>
    <t>Perlu dilakukan investigasi terlebih dahulu sebelum dilakukan penangan yang lebih lanjut, apakah karena permintaan pasar yang rendah atau karena keterbatasan ekspedisi pengiriman/logistik rendah atau kurang exposure marketing</t>
  </si>
  <si>
    <t>Apabila karena kurang exposure marketing maka perlu dilakukan uji kampanye promosi produk kecil-kecilan dulu unutk melihat respon pelanggan di kota-kota tersebut.</t>
  </si>
  <si>
    <t>Apabila target pasar memang kecil secara struktural maka perlu di pertimbangkan untuk melakukan efisiensi biaya opersional pada wilayah tersebut daripada memaksakan pertumbuhan pasar.</t>
  </si>
  <si>
    <t>Rata-Rata Total Transaksi Wilayah</t>
  </si>
  <si>
    <t>Rata-Rata Penjualan Per Kategori</t>
  </si>
  <si>
    <t>AOV Valid</t>
  </si>
  <si>
    <t>AOV</t>
  </si>
  <si>
    <t>Total Transaksi</t>
  </si>
  <si>
    <t>Berdasarkan Tabel diatas kombinasi wilayah x kategori paling menguntungkan Surabaya x Elektronik dengan AOV Rp2,722,600 dari 5 transaksi dengan total penjualan Rp13,613,000.</t>
  </si>
  <si>
    <t>Kombinasi Nilai Transaksi Teringgi</t>
  </si>
  <si>
    <t>Kontribusi kedua dari kombinasi diatas ada Jakarta x Fashion dengan AOV Rp 2,288,667 dari 3 transaksi dengan total penjualan Rp6,866,000</t>
  </si>
  <si>
    <t>Pada tabel tersebut sengaja mengambil 5 kombinasi terbasik denga filter minimal transaksi adalah 3, apabila tidak dilakukan filter minimal transaksi maka urutan teratas bisa didominasi oleh kombinasi lain yang jumlah transaksinys sedikit namun aov nya tinggi seperti Palembang x Eletronik dengan AOV Rp3,4 juta tapi jumlah transaksinya hanya 2, dimana hal ini tidak cukup representatif untuk disebut sebagai pola yang menguntungkan, bisa jadi tersebut karena sebuah kebetulan  terjadi satu pembelian dengan hara yang besar.</t>
  </si>
  <si>
    <t>Pola menarik disini dapat dilihat pada kategori elektronik yang muncul 3 dari 5. Jika mau memfokuskan stragtegi, elektronik di eilayah yang AOV nya tinggi seperti Surabaya dan Bandung tampak menjadai konbinasi yang paling potensial.</t>
  </si>
  <si>
    <t>5 Produk Terlaris</t>
  </si>
  <si>
    <t>5 Produk Penjualan Terendah</t>
  </si>
  <si>
    <t>Kontribusi Penjualan Per Kategori</t>
  </si>
  <si>
    <t>Pola Musiman Setiap Wilayah</t>
  </si>
  <si>
    <t>Berdasarkan seluruh analisis yang sudah dilakukan berukan insight yang says susun supaya benar-benar bisa dieksekusi:</t>
  </si>
  <si>
    <t>1. Reseller "salah perilaku" karenan AOVnya lebih rendah dari Retail dimana 
seharusnya lebih tinggi.
Data: AOV Reseller (Rp1,032,088) justru lebih rendah dari Retail (Rp1,310,683) padahal jika dilihat secara bisnis Reseller biasanya beli lebih banyak untuk djual kembali.
Rekomendasi: Bisa diterapkan minimum order quantity (MOQ) atau tiered pricing khusus untuk segmen Reseller seperti diskon bertingkat mulai dari pembelian 15+ item. Hal ini dapat mendorong Reseller berperilaku sesuai perannya sekaligus dapat membentu menaikkan AOV mereka.
Target: Tim Sales/pricing dengan ekesekusi dalam 1 bulan</t>
  </si>
  <si>
    <t>2. Elektronik meledak di Agustus/Oktober/November kemudian anjlok ke Rp0 di Juni
Data: Kategori Elektronik melonjak 2,5x rata-rata di November, tapi nyaris kososng sepanjang Maret-Juli.
Rekomendasi: Jangan menunggu Q4 untuk mendorong Elektronik, bisa mulai jadwalkan kampanye/promo elektronik di Q2 (April-Juni) saat kategori ini justru sepi, untuk meratakan permintaan sepanjang tahun.
Target: Tim Marketing, dapat dimulai pada kuartal berikutnya.</t>
  </si>
  <si>
    <t>3. Tiga Wilayah "Rendah" (Ypgyakarta, Palembang, Denpasar) menyumbang Cuma 21% gabungan sehingga pelru diagnosis, bukan langsung digenjot.
Data: Ketiganya konsisten di bawah kontribusi rata-rata(6-7,6%), jauh dari kelompok Tinggi (12%+)
Rekomendasi: Sebelum melakukan alokasi budget marketing tambahan perlu dilakukan riset cepat (survei/wawancara distributor lokal) untuk memastikan penyebabnya kurang exposure sehingga bisa digenjot vs pasar memang kecil sehingga percuma dipaksa. Jika ternyata pasar kecil, daripada resource ke kelompok "Sedang" (Malang, Bandung, Jakarta) yang punya ruang tumbuh lebih realistis.
Target: tim Business Development, riset 2 minggu sebelum kepetusan budget.</t>
  </si>
  <si>
    <t>4. Mouse Wireless mendominasi sendiri sehingga beresiko pada ketergantungan satu produk.
Data: Mouse Wireless menyumbang Rp28,8 juta (hampir 50% lebih tinggi dari produk terlaris kedua), sementara 5 produk terbawah kombinasi totalnya Cuma Rp27 juta.
Rekomendasi: Diversifikasi dengan bundling misalnya paketkan Mouse Wireless dengan produk Elektronik lain yang kurang laku seperti Kabel Data USB-C, Earphone Bluetooth dsb supaya ketergantungan pada satu SKU berkurang dan produk lemah ikut terjual.
Target: Tim Merchandising, uji coba bundling 1 kuartal.</t>
  </si>
  <si>
    <t>5. QRIS mendominasi pembayaran hingga 28,5%, infrastruktur harus diprioritaskan pada channel ini.
Data: QRIS jadi metode pembayaran nomor 1, jauh di atas transfer Bank yang hanya 14,8% yang justru paling rendah.
Rekomendasi" Audit biaya transaksi dan kecepatan settlement QRIS, jika terdapat gesekan (fee tinggi, delay pencairan), ini prioritas yang harus dibenahi karena volumenya tinggi. Sebaliknya, pertimbangkan insentif kecil untuk Transfer Bank(baiaya settlement biasanya lebih murah untuk merchant) guna menggeser sebagian volume dan menghemat biaya transaksi keseluruhan.
Target: Tim Finance/Payments dengan masa evaluasi 1 bulan.</t>
  </si>
  <si>
    <t>6. Kotak Penyimpanan: laris tapi murah, ini masalah harga bukan karena permintaan
Data: Terjual 153 item dari 11 transaksi tapi masuk 5 produk penjualn terendah karena satuan harga yang relatif rendah.
Rekomendasi: Ini bukan produk yang perlu dipromosikan lebih, tapi dinaikkan harga atau dibundle dengan produk Rumah Tangga lainya, permintaannya sudah terbukti ada, tinggal marginnya yang perlu diperbaiki.
Target: tim Pricing. quick-win bisa dieksekusi dalam minggu ini.</t>
  </si>
  <si>
    <t>Note: semua insight diatas berdasarkan pola dari 220 bari data dalam 1 tahun, sampel per breakdown misal per bulan per kategori kadang kecil, jadi sebelum eksekusi besar terutama insight #2 dan #3 ada baiknya dilakukan validasi terlebih dulu dengan data tambahan atau dengan konteks lapangan yang tidak tercemin di data ini.</t>
  </si>
  <si>
    <t>Rekomendasi Strategis Untuk Tahun 2026</t>
  </si>
  <si>
    <t>Rekomendasi disusun berdasarkan hasil seluruh analisis data 2025 yakni terdapat 220 baris data bersih.</t>
  </si>
  <si>
    <t>(a) Wilayah Prioritas Ekspansi/Promosi</t>
  </si>
  <si>
    <t>Prioritas</t>
  </si>
  <si>
    <t>Alasan &amp; Strategi 2026</t>
  </si>
  <si>
    <t>Basis Pelanggan sudah terbukti kuat. Alokasikan budget ekspansi terbesar disini, buka titik distribusi barum uji produk premium/ kategori baru terlebih dahulu di kota-kota ini karena resiko kegagalan lebih rendah.</t>
  </si>
  <si>
    <t>Semarang, Makasar, Surabaya, Medan (kontribusi penjualan 12,4-12,9%)</t>
  </si>
  <si>
    <t>Malang, Bandung, Jakarta (kontribusi penjualan 9,1-9,7%)</t>
  </si>
  <si>
    <t>Jakarta menjadi catatan khusus karena sebagai kota besar, kontribusi penjualannya relatif rendah dibandingkan dengan potensi pasar. Investigasi apa penyebabnya, apakah kompetisi lebih ketat? Atau karena preferensi belanja yang berbeda? Sebeblum mengalokasikan budget besar di kota ini. Malang dan Bandung lakukan uji promosi kategori spesifik untuk mendorong ke kelompok tinggi.</t>
  </si>
  <si>
    <t>Yogyakarta, Palembang, Denpasar (kontribusi penjualan 6,0-7,6%)</t>
  </si>
  <si>
    <t>Jangan mengalokasikan budget besar dulu di tahun 2026 tanpa melakukan riset lapangan terlebih dulu untuk memastikan penyebab rendahnya kontribusi, misal kurang exposure berarti bisa digenjot dengan melakukan promosi lebih lagi vs pasar budget kecil maka percuma saja apabila dipaksa melakukak promosi. Mulai dengan pilot budget kecil dulu dan evaluasi di Q2 2026 sebelum melakukan komitmen lebih baih.</t>
  </si>
  <si>
    <t>Utama
(Genjot lebih jauh)</t>
  </si>
  <si>
    <t>Kedua
(Naikkan level dari sedang ke tinggi)</t>
  </si>
  <si>
    <t>Ketiga
(Diagnosis penyebab dulu)</t>
  </si>
  <si>
    <r>
      <rPr>
        <b/>
        <sz val="11"/>
        <color theme="1"/>
        <rFont val="Calibri"/>
        <family val="2"/>
      </rPr>
      <t>Note:</t>
    </r>
    <r>
      <rPr>
        <sz val="11"/>
        <color theme="1"/>
        <rFont val="Calibri"/>
        <family val="2"/>
        <charset val="1"/>
      </rPr>
      <t xml:space="preserve"> Alokasikan 60% budget ekspansi ke kelompok Tinggi, 30% ke kelompok Sedang dengan target spesifik naikkan di kota Jakarta, 10% untuk riset/pilot ke kelompok rendah.</t>
    </r>
  </si>
  <si>
    <t>(b) Kategori Produk yang Perlu Ditambah Stok</t>
  </si>
  <si>
    <t>Produk/Kategori</t>
  </si>
  <si>
    <t>Alasan</t>
  </si>
  <si>
    <t>Utama
(Siapkan lonjakan untuk Q4)</t>
  </si>
  <si>
    <t>Elektronik
(khususnya Mouse Wireless)</t>
  </si>
  <si>
    <t>AOV tertinggi yakni Rp1,88 juta dan kategori paling menguntungkan adalah Surabaya x Elektronik dengan AOV Rp2,7 juta. Namun sangat musiman karena melonjak 2,5x di Agustus/Oktober/November dan nyaris kosong di Maret-Juli. Perlu disiapkan Stok besar mulai Juli untuk antisipasi lonjakan Q3-Q4, jangan sampai kehabisan saat permintaan sedang memuncak.</t>
  </si>
  <si>
    <t>Stok Stabil sepanjang tahun</t>
  </si>
  <si>
    <t>Fashion (Celana Jeans, Kaos Polos, Kemeja Flanel, Jaket Hoodie)</t>
  </si>
  <si>
    <t>Kontribusi penjualan terbesar adalah 29% dan paling stabil dimana fluktuasi rendah di setiap bulannya, cocok untuk stok reguler tanpa perlu strategi musiman khusus. Puncak penjualan tertinggi pada bulan Maret maka perlu disiapkan stok sedikit lebih banyak menjelang periode tersebut.</t>
  </si>
  <si>
    <t>Naikkan stok secara bertahap</t>
  </si>
  <si>
    <t>Kontribusi solid yakni 18,7% dengan puncaknya pada bulan Oktober (1,9x rata-rata). Dapat ditambahkan stok menjelang bulan Oktober terutama di wilayah kelompok tinggi.</t>
  </si>
  <si>
    <r>
      <rPr>
        <b/>
        <sz val="11"/>
        <color theme="1"/>
        <rFont val="Calibri"/>
        <family val="2"/>
      </rPr>
      <t xml:space="preserve">Note: </t>
    </r>
    <r>
      <rPr>
        <sz val="11"/>
        <color theme="1"/>
        <rFont val="Calibri"/>
        <family val="2"/>
        <charset val="1"/>
      </rPr>
      <t>Buat kalender stok musimam 2026, Elelktronik naik pada Juli-November, Fashion Stabil dengan sedikit tambahan pada Februari-Maret, Olahraga naik pada September-Oktober.</t>
    </r>
  </si>
  <si>
    <t>(c) Produk: Perlu Dievaluasi Ulang</t>
  </si>
  <si>
    <t>Produk</t>
  </si>
  <si>
    <t>Permintaan terbukti tinggi (153 unit, 11 transaksi) tapi masuk 5 terbawah karena harga terlalu murah — ini masalah margin, bukan masalah permintaan. Bundle dengan produk Rumah Tangga lain atau naikkan harga bertahap di 2026.</t>
  </si>
  <si>
    <t>Kabel Data USB-C, Sapu Lidi, Rak Sepatu Lipat</t>
  </si>
  <si>
    <t>Penjualan rendah karena jarang dibeli sendiri (bukan soal harga). Paketkan dengan produk laris dari kategori sama — misal Kabel Data USB-C dibundling dengan Mouse Wireless atau Power Bank.</t>
  </si>
  <si>
    <t>Penjualan terendah kedua (Rp6,4 juta) DAN transaksi paling sedikit (cuma 3) — kombinasi permintaan rendah dan jarang dibeli. Coba diskon agresif dulu 1 kuartal; kalau tidak ada perbaikan signifikan di pertengahan 2026, pertimbangkan hentikan dan alihkan rak/stok ke produk Elektronik yang lebih laku.</t>
  </si>
  <si>
    <t>Mouse Wireless, Celana Jeans, Kaos Polos, Kemeja Flanel, Jaket Hoodie (5 terlaris)</t>
  </si>
  <si>
    <t>Naikkan harga / Bundle (bukan promosi)</t>
  </si>
  <si>
    <t>Bundling dengan produk laris</t>
  </si>
  <si>
    <t>Pertahankan, jangan diutak-atik</t>
  </si>
  <si>
    <t>Evaluasi serius, pertimbangkan diskon besar atau hentikan</t>
  </si>
  <si>
    <t>Performa sudah baik — risiko justru muncul kalau terlalu bergantung pada Mouse Wireless sendirian (kontribusinya 50% lebih tinggi dari posisi 2). Mitigasi risiko: dorong penjualan 4 produk Fashion terlaris lain supaya portofolio tidak terlalu bertumpu pada satu SKU.</t>
  </si>
  <si>
    <r>
      <rPr>
        <b/>
        <sz val="11"/>
        <color theme="1"/>
        <rFont val="Calibri"/>
        <family val="2"/>
      </rPr>
      <t>Note:</t>
    </r>
    <r>
      <rPr>
        <sz val="11"/>
        <color theme="1"/>
        <rFont val="Calibri"/>
        <family val="2"/>
        <charset val="1"/>
      </rPr>
      <t xml:space="preserve"> Q1 2026 — mulai uji bundling Kotak Penyimpanan &amp; Kabel Data USB-C. Q2 2026 — evaluasi hasil diskon Earphone Bluetooth, putuskan lanjut/hentikan.</t>
    </r>
  </si>
  <si>
    <t>RINGKASAN EKSEKUTIF</t>
  </si>
  <si>
    <t>Analisis Penjualan 2025 &amp; Rekomendasi Strategis 2026</t>
  </si>
  <si>
    <t>Rp280,6 Jt</t>
  </si>
  <si>
    <t>220</t>
  </si>
  <si>
    <t>10 Kota</t>
  </si>
  <si>
    <t>5 Kategori</t>
  </si>
  <si>
    <t>Total Penjualan 2025</t>
  </si>
  <si>
    <t>Transaksi Bersih</t>
  </si>
  <si>
    <t>Wilayah Aktif</t>
  </si>
  <si>
    <t>Kategori Produk</t>
  </si>
  <si>
    <t>TEMUAN UTAMA</t>
  </si>
  <si>
    <t>REKOMENDASI STRATEGIS 2026</t>
  </si>
  <si>
    <t>•  (a) Wilayah:</t>
  </si>
  <si>
    <t>•  (b) Stok:</t>
  </si>
  <si>
    <t>Siapkan stok Elektronik besar mulai Juli untuk antisipasi lonjakan Q3–Q4; Fashion dapat distok stabil sepanjang tahun; naikkan stok Olahraga jelang Oktober.</t>
  </si>
  <si>
    <t>•  (c) Produk:</t>
  </si>
  <si>
    <t>Kotak Penyimpanan &amp; produk sejenis perlu dinaikkan harga/di-bundle (permintaan tinggi, margin rendah); Earphone Bluetooth perlu evaluasi serius (diskon agresif 1 kuartal, atau dihentikan); diversifikasi dari ketergantungan Mouse Wireless.</t>
  </si>
  <si>
    <t>Catatan: Analisis berbasis data transaksi 2025 (220 baris, setelah pembersihan duplikat &amp; missing value). Rekomendasi berbasis pola historis — disarankan divalidasi dengan konteks lapangan sebelum eksekusi anggaran besar.</t>
  </si>
  <si>
    <t>•  Fashion &amp; Elektronik mendominasi</t>
  </si>
  <si>
    <t>Menyumbang 56,5% total penjualan. Elektronik punya nilai transaksi rata-rata tertinggi (Rp1,88 Jt) tapi sangat musiman dan penjualan melonjak Agu/Okt/Nov, nyaris kosong Mar–Jul.</t>
  </si>
  <si>
    <t>•  4 kota teratas menyumbang 50% merata</t>
  </si>
  <si>
    <t>Semarang, Makassar, Surabaya, Medan. Tidak ada satu kota yang mendominasi ekstrem. 3 kota terbawah (Yogyakarta, Palembang, Denpasar) hanya menyumbang 21% gabungan.</t>
  </si>
  <si>
    <t>•  Reseller ber-AOV lebih rendah dari Retail</t>
  </si>
  <si>
    <t>Rp1,03 Jt vs Rp1,31 Jt, hal ini berlawanan dengan pola bisnis wajar, mengindikasikan peluang perbaikan struktur harga/MOQ.</t>
  </si>
  <si>
    <t>•  Mouse Wireless mendominasi sendirian</t>
  </si>
  <si>
    <t>Rp28,8 Jt, ~50% lebih tinggi dari produk terlaris ke-2, hal ini menimbulkan risiko ketergantungan pada satu produk.</t>
  </si>
  <si>
    <t>•  QRIS adalah metode pembayaran terbesar</t>
  </si>
  <si>
    <t>28,5% dari total, jauh di atas Transfer Bank (14,8%), mencerminkan pergeseran ke pembayaran digital.</t>
  </si>
  <si>
    <t>Prioritaskan ekspansi di 4 kota performa tinggi; investigasi mengapa Jakarta yang kota besar justru kontribusinya relatif rendah; lakukan riset lapangan dulu sebelum menggelontorkan budget ke 3 kota performa rendah.</t>
  </si>
  <si>
    <t>Analisis Penjualan 2025</t>
  </si>
  <si>
    <t>Ringkasan Temuan, Insigt Bisnis &amp; Rekomendasi Strategis 2026</t>
  </si>
  <si>
    <t>● 10 Wilayah</t>
  </si>
  <si>
    <t>● 5 Kategori Produk</t>
  </si>
  <si>
    <t>● 220 Transaksi Bersih</t>
  </si>
  <si>
    <t>Ringkasan Eksekutif</t>
  </si>
  <si>
    <t>Gambaran Umum 2025</t>
  </si>
  <si>
    <t xml:space="preserve">Temuan Utama dari </t>
  </si>
  <si>
    <t>Data Penjualan 2025</t>
  </si>
  <si>
    <t>BAGIAN 1</t>
  </si>
  <si>
    <t>TREN PENJUALAN</t>
  </si>
  <si>
    <t>Tren Penjualan Bulanan 2025</t>
  </si>
  <si>
    <t>Oktober - Rp36,7 Jt</t>
  </si>
  <si>
    <t>26 transaksi, didorong oleh kategori Elektronik</t>
  </si>
  <si>
    <t>Bulan Terendah</t>
  </si>
  <si>
    <t>Juli - Rp 13,3 Jt</t>
  </si>
  <si>
    <t>14 transaksi, kategori kecantikan lebih dominan</t>
  </si>
  <si>
    <t>Tidak ada musim tertinggi dan terendah</t>
  </si>
  <si>
    <t>yang kosisten sepanjang karena</t>
  </si>
  <si>
    <r>
      <rPr>
        <b/>
        <sz val="14"/>
        <color theme="0"/>
        <rFont val="Times New Roman"/>
        <family val="1"/>
      </rPr>
      <t xml:space="preserve">pola zig-zag bukan </t>
    </r>
    <r>
      <rPr>
        <sz val="14"/>
        <color theme="0"/>
        <rFont val="Times New Roman"/>
        <family val="1"/>
      </rPr>
      <t>merupakan</t>
    </r>
  </si>
  <si>
    <t>tren llinear</t>
  </si>
  <si>
    <t>KONTRIBUSI WILAYAH</t>
  </si>
  <si>
    <t>Penjualan Per Wilayah</t>
  </si>
  <si>
    <t>4 Kota Performa Tinggi</t>
  </si>
  <si>
    <t xml:space="preserve">Menyumbang 50,3% dari total penjualan, kontribusi </t>
  </si>
  <si>
    <t>merata tanpa adanya satu kota yang mendominasi</t>
  </si>
  <si>
    <t>Semarang, Makassar, Surabaya,</t>
  </si>
  <si>
    <t>3 Kota performa Rendah</t>
  </si>
  <si>
    <t>Hanya memberikan 21% kontribusi gabungan.</t>
  </si>
  <si>
    <t>Perlu diagnosis lapangan sebelum mengalokasikan</t>
  </si>
  <si>
    <t>budget besar, apakah masalahnya karena</t>
  </si>
  <si>
    <t>Yogyakarta, palembang,</t>
  </si>
  <si>
    <t>kurang exposure atau pasar memang</t>
  </si>
  <si>
    <t>cenderung kecil?</t>
  </si>
  <si>
    <t>SEGMENTASI WILAYAH</t>
  </si>
  <si>
    <t>Tiga Kelompok Performa Wilayah</t>
  </si>
  <si>
    <t>TINGGI</t>
  </si>
  <si>
    <t>SEDANG</t>
  </si>
  <si>
    <t>RENDAH</t>
  </si>
  <si>
    <t>Semarang, Makassar,</t>
  </si>
  <si>
    <t>Surabaya, Medan</t>
  </si>
  <si>
    <t>Yogyakarta,Palembang,</t>
  </si>
  <si>
    <t>Malang, Bandung, Jakarta</t>
  </si>
  <si>
    <t>12,4% - 12,9%</t>
  </si>
  <si>
    <t>9,1% - 9,7%</t>
  </si>
  <si>
    <t>6% - 7,6%</t>
  </si>
  <si>
    <t>Pertahankan &amp; perkuat, lakukan uji</t>
  </si>
  <si>
    <t>coba produk baru disini.</t>
  </si>
  <si>
    <t>Ada ruang tumbuh, lakukan uji promosi terarah,</t>
  </si>
  <si>
    <t>cermati wilayah Jakarta.</t>
  </si>
  <si>
    <t>Investigasi terlebih dahulu sebelum</t>
  </si>
  <si>
    <t>treatmen besa-besaran.</t>
  </si>
  <si>
    <t>PERFORMA PRODUK</t>
  </si>
  <si>
    <t>Performa Kategori Produk</t>
  </si>
  <si>
    <t>Top 5 Produk Terlaris</t>
  </si>
  <si>
    <t>1. Mouse Wireless</t>
  </si>
  <si>
    <t>2. Celana Jeans</t>
  </si>
  <si>
    <t>3. Kaos Polos</t>
  </si>
  <si>
    <t>4. Kemeja Flanel</t>
  </si>
  <si>
    <t>5. Jaket Hoodie</t>
  </si>
  <si>
    <t>Rp28,8Jt</t>
  </si>
  <si>
    <t>Rp19,7Jt</t>
  </si>
  <si>
    <t>Rp18,4Jt</t>
  </si>
  <si>
    <t>Rp17,7Jt</t>
  </si>
  <si>
    <t>Rp16,7Jt</t>
  </si>
  <si>
    <t>5 Produk Penjualan terendah</t>
  </si>
  <si>
    <t>Earphone Buetooth</t>
  </si>
  <si>
    <t>Rp6,6Jt</t>
  </si>
  <si>
    <t>Rp6,4Jt</t>
  </si>
  <si>
    <t>Rp5,7Jt</t>
  </si>
  <si>
    <t>Rp4,2Jt</t>
  </si>
  <si>
    <t>Rp4,1Jt</t>
  </si>
  <si>
    <t>SEGMEN PELANGGAN</t>
  </si>
  <si>
    <t>Perbandingan Segmen Pelanggan</t>
  </si>
  <si>
    <t>Catatan Penting</t>
  </si>
  <si>
    <t>Rp1,3Jt), hal ini berlawanan dengan pola bisnis wajar</t>
  </si>
  <si>
    <t>di mana Reseller biasanya beli lebih banyak.</t>
  </si>
  <si>
    <t>volume transaksi terbanyak (127), bukan karena</t>
  </si>
  <si>
    <t>nilai per transaksi</t>
  </si>
  <si>
    <t>POLA MUSIMAN</t>
  </si>
  <si>
    <t>Musiman Kategori Produk</t>
  </si>
  <si>
    <t>Insight</t>
  </si>
  <si>
    <r>
      <rPr>
        <b/>
        <sz val="11"/>
        <color theme="4" tint="-0.499984740745262"/>
        <rFont val="Calibri"/>
        <family val="2"/>
      </rPr>
      <t>Reseller memiliki AOV lebih rendah dari Retail</t>
    </r>
    <r>
      <rPr>
        <b/>
        <sz val="10"/>
        <color theme="1" tint="0.499984740745262"/>
        <rFont val="Calibri"/>
        <family val="2"/>
      </rPr>
      <t xml:space="preserve"> (Rp1,03Jt vs</t>
    </r>
  </si>
  <si>
    <r>
      <rPr>
        <b/>
        <sz val="11"/>
        <color theme="4" tint="-0.499984740745262"/>
        <rFont val="Calibri"/>
        <family val="2"/>
      </rPr>
      <t>Retail</t>
    </r>
    <r>
      <rPr>
        <b/>
        <sz val="10"/>
        <color theme="0"/>
        <rFont val="Calibri"/>
        <family val="2"/>
      </rPr>
      <t xml:space="preserve"> </t>
    </r>
    <r>
      <rPr>
        <b/>
        <sz val="10"/>
        <color theme="1" tint="0.499984740745262"/>
        <rFont val="Calibri"/>
        <family val="2"/>
      </rPr>
      <t>jadi mesin utama pendapatan (59,3%) murni karena</t>
    </r>
  </si>
  <si>
    <r>
      <rPr>
        <b/>
        <sz val="12"/>
        <color theme="4" tint="-0.499984740745262"/>
        <rFont val="Calibri"/>
        <family val="2"/>
      </rPr>
      <t>Fashion</t>
    </r>
    <r>
      <rPr>
        <b/>
        <sz val="11"/>
        <color theme="1"/>
        <rFont val="Calibri"/>
        <family val="2"/>
      </rPr>
      <t xml:space="preserve"> </t>
    </r>
    <r>
      <rPr>
        <b/>
        <sz val="11"/>
        <color theme="1" tint="0.34998626667073579"/>
        <rFont val="Calibri"/>
        <family val="2"/>
      </rPr>
      <t>paling stabil di sepanjang tahun, ini aman  untuk stock reguler tanpa perlu strategi musiman khusus.</t>
    </r>
  </si>
  <si>
    <r>
      <rPr>
        <b/>
        <sz val="12"/>
        <color theme="4" tint="-0.499984740745262"/>
        <rFont val="Calibri"/>
        <family val="2"/>
      </rPr>
      <t>Elektronik &amp; Rumah Tangga  paling fluktuatif,</t>
    </r>
    <r>
      <rPr>
        <sz val="11"/>
        <color theme="1"/>
        <rFont val="Calibri"/>
        <family val="2"/>
        <charset val="1"/>
      </rPr>
      <t xml:space="preserve"> </t>
    </r>
    <r>
      <rPr>
        <b/>
        <sz val="11"/>
        <color theme="1" tint="0.34998626667073579"/>
        <rFont val="Calibri"/>
        <family val="2"/>
      </rPr>
      <t xml:space="preserve">di mana mengalami lonjakan 2,3-2,5x rata-rata di bulan puncak, </t>
    </r>
  </si>
  <si>
    <t>kemudian nyaris kosong di bulan terendah. Elektronik cenderung ramai di Q3-Q4 (siap-siap akhir tahun),</t>
  </si>
  <si>
    <t>cocok untuk strategi musiman.</t>
  </si>
  <si>
    <t>METODE PEMBAYARAN</t>
  </si>
  <si>
    <t>Distribusi Metode Pembayaran</t>
  </si>
  <si>
    <t>QRIS Mendominasi</t>
  </si>
  <si>
    <t>28,5% dari total transaksi</t>
  </si>
  <si>
    <t>Hampir dua kali lipat Transfer Bank (14,8%), hal ini</t>
  </si>
  <si>
    <t>mencerminkan pergeseran kuat ke pembayaran</t>
  </si>
  <si>
    <t>digital di kalangan pelanggan.</t>
  </si>
  <si>
    <t>Implikasi Strategis</t>
  </si>
  <si>
    <r>
      <rPr>
        <b/>
        <sz val="12"/>
        <color theme="0"/>
        <rFont val="Calibri"/>
        <family val="2"/>
      </rPr>
      <t>Audit biaya transaksi &amp; kecepatan settlement QRIS,</t>
    </r>
    <r>
      <rPr>
        <sz val="11"/>
        <color theme="1" tint="0.499984740745262"/>
        <rFont val="Calibri"/>
        <family val="2"/>
      </rPr>
      <t xml:space="preserve"> </t>
    </r>
  </si>
  <si>
    <t>cari volume terbesar, prioritaskan untuk</t>
  </si>
  <si>
    <t>membenahi jika ada gesekan</t>
  </si>
  <si>
    <r>
      <rPr>
        <b/>
        <sz val="12"/>
        <color theme="0"/>
        <rFont val="Calibri"/>
        <family val="2"/>
      </rPr>
      <t>Insentif kecil untuk Transfer Bank</t>
    </r>
    <r>
      <rPr>
        <b/>
        <sz val="11"/>
        <color theme="0"/>
        <rFont val="Calibri"/>
        <family val="2"/>
      </rPr>
      <t>,</t>
    </r>
    <r>
      <rPr>
        <sz val="11"/>
        <color theme="0" tint="-0.14999847407452621"/>
        <rFont val="Calibri"/>
        <family val="2"/>
      </rPr>
      <t xml:space="preserve"> </t>
    </r>
    <r>
      <rPr>
        <b/>
        <sz val="11"/>
        <color theme="0" tint="-0.14999847407452621"/>
        <rFont val="Calibri"/>
        <family val="2"/>
      </rPr>
      <t>biaya</t>
    </r>
  </si>
  <si>
    <t>settlement untuk  merchant biasanya lebih murah.</t>
  </si>
  <si>
    <t>BAGIAN 2</t>
  </si>
  <si>
    <t>Insight Bisnis &amp;</t>
  </si>
  <si>
    <t>Rekomendasi Strategis 2026</t>
  </si>
  <si>
    <t>INSIGHT BISNIS</t>
  </si>
  <si>
    <t>Insight Bisnis Actionable (1/2)</t>
  </si>
  <si>
    <t>Reseller Salah Perilaku: AOV &lt; Retail</t>
  </si>
  <si>
    <t>AOV Reseller (Rp1,03 Jt) di bawah Retail (Rp1,3Jt), padahal seharusnya Reseller membeli lebih banyak</t>
  </si>
  <si>
    <t>→ Terapkan MOQ/tiered pricing khusus Reseller (1 bulan)</t>
  </si>
  <si>
    <t>Elektronik Meledak di Q4 tapi kosong di Q2</t>
  </si>
  <si>
    <t>Melonjak 2,5x di bulan November, tapi nyaris kosong di Maret - Juli</t>
  </si>
  <si>
    <t xml:space="preserve">→  Kampanyekan elektronik di Q2  untuk meratakan permintaan </t>
  </si>
  <si>
    <t>3 Kota Rendah, perlu dilakukan diagnosis terlebih dulu</t>
  </si>
  <si>
    <t>Yogyakarta, Palembang, Denpasar hanya 21% gabungan.</t>
  </si>
  <si>
    <t>→ Lakukan riset lapangan sebelum melakukan alokasi budget</t>
  </si>
  <si>
    <t>Insight Bisnis Actionable (2/2)</t>
  </si>
  <si>
    <t>Mouse Wireless Dominan Sendirian</t>
  </si>
  <si>
    <t>QRIS Dominan, Perlu Prioritaskan Infrastruktur</t>
  </si>
  <si>
    <t>Kotak Penyimpanan laris tapi Harga Murah</t>
  </si>
  <si>
    <t>~50% lebih tinggi dari produk terlaris  ke-2  yang berisiko konsentrasi pada satu produk.</t>
  </si>
  <si>
    <t>→ Bundling dengan Kabel Data USB-C/Earphone Bluetooth</t>
  </si>
  <si>
    <t>28,5% transasksi via QRIS, jauh diatas Transfer Bank (14,8%).</t>
  </si>
  <si>
    <t>→ Audit biaya dan settlement QRIS selama 1 bulan.</t>
  </si>
  <si>
    <t>153 produk terjual tapi termasuk dalam penjualan yang terendah karena masalah harga bukan permintaan.</t>
  </si>
  <si>
    <t>REKOMENDASI 2026</t>
  </si>
  <si>
    <t>Peta Prioritas Strategis 2026</t>
  </si>
  <si>
    <t>(a) Wilayah</t>
  </si>
  <si>
    <t>(b) Stok</t>
  </si>
  <si>
    <t>(c) Produk</t>
  </si>
  <si>
    <t>● Prioritaskan di 4 kota dengan performa tinggi</t>
  </si>
  <si>
    <t>● Investigasi kenapa Jakarta relatif rendah</t>
  </si>
  <si>
    <t>● Riset dulu 3 kota dengan performa rendah</t>
  </si>
  <si>
    <t>● Elektronik siapkan di bulan Juli untuk lonjakan Q3-Q4</t>
  </si>
  <si>
    <t>● Olahraga naikkan stok menjelang bulan Oktober</t>
  </si>
  <si>
    <t>● Fashion stok stabil sepanjang tahun</t>
  </si>
  <si>
    <t>● Naikkan harga/bundle khususnya produk Kotak Penyimpanan</t>
  </si>
  <si>
    <t>● Evaluasi secara serius untuk Earphone Bluetooth</t>
  </si>
  <si>
    <t>● Diversifikasi dari Mouse Wireless</t>
  </si>
  <si>
    <t>ROADMAP 2026</t>
  </si>
  <si>
    <t>Roadmap Eksekusi per Kuartal</t>
  </si>
  <si>
    <t>Q1</t>
  </si>
  <si>
    <t>Q2</t>
  </si>
  <si>
    <t>Q3</t>
  </si>
  <si>
    <t>Q4</t>
  </si>
  <si>
    <t>Riset wilayah performa rendah; muai dari bundling produk lemah; audit biaya QRIS</t>
  </si>
  <si>
    <t>kampanye Elektronik diluar musim; evaluasi  hasil diskon Earphone Bluetooth</t>
  </si>
  <si>
    <t>Mulai naikkan stok Elektronik; dorong Olahraga menjelan bulan Oktober</t>
  </si>
  <si>
    <t>Puncak stok Elektronik dan Fashion; evaluasi keseluruhan strategi</t>
  </si>
  <si>
    <t>TERIMA KASIH</t>
  </si>
  <si>
    <t xml:space="preserve">Analisis berbasis 220 transaksi bersih tahun 2025. Rekomendasi disarankan melakukan validasi dengan konteks </t>
  </si>
  <si>
    <t>lapangan sebelum eksekusi anggaran besar.</t>
  </si>
  <si>
    <t>TREN ANALYST</t>
  </si>
  <si>
    <t>KONTRIBUSI PENJUALAN PER WILAYAH</t>
  </si>
  <si>
    <t>ANALISIS 5 PRODUK TERLARIS DAN 5 PENJUALAN TERENDAH</t>
  </si>
  <si>
    <t>ANALISIS AOV PENJUALAN - SEGMEN PELANGGAN</t>
  </si>
  <si>
    <t>ANALISIS - METODE PEMBAYARAN</t>
  </si>
  <si>
    <t>INDENTIFIKASI POLA MUSIMAN</t>
  </si>
  <si>
    <t>KOMBINASI WILAYAH X KATEGORI PALING MENGUNTUNGKAN</t>
  </si>
  <si>
    <r>
      <rPr>
        <b/>
        <sz val="14"/>
        <color theme="9" tint="-0.249977111117893"/>
        <rFont val="Times New Roman"/>
        <family val="1"/>
      </rPr>
      <t>●</t>
    </r>
    <r>
      <rPr>
        <b/>
        <sz val="14"/>
        <color theme="1"/>
        <rFont val="Times New Roman"/>
        <family val="1"/>
      </rPr>
      <t xml:space="preserve"> </t>
    </r>
    <r>
      <rPr>
        <b/>
        <sz val="14"/>
        <color theme="4" tint="-0.499984740745262"/>
        <rFont val="Times New Roman"/>
        <family val="1"/>
      </rPr>
      <t>Fashion &amp; Elektronik mendominasi</t>
    </r>
    <r>
      <rPr>
        <b/>
        <sz val="11"/>
        <color theme="1"/>
        <rFont val="Times New Roman"/>
        <family val="1"/>
      </rPr>
      <t xml:space="preserve"> </t>
    </r>
    <r>
      <rPr>
        <b/>
        <sz val="11"/>
        <color theme="1" tint="0.499984740745262"/>
        <rFont val="Times New Roman"/>
        <family val="1"/>
      </rPr>
      <t>56,5 % total penjualan. Elektronik dengan AOV tertinggi tapi sangat musiman</t>
    </r>
  </si>
  <si>
    <r>
      <rPr>
        <b/>
        <sz val="14"/>
        <color theme="9" tint="-0.249977111117893"/>
        <rFont val="Times New Roman"/>
        <family val="1"/>
      </rPr>
      <t>●</t>
    </r>
    <r>
      <rPr>
        <b/>
        <sz val="14"/>
        <color theme="1"/>
        <rFont val="Times New Roman"/>
        <family val="1"/>
      </rPr>
      <t xml:space="preserve"> </t>
    </r>
    <r>
      <rPr>
        <b/>
        <sz val="14"/>
        <color theme="4" tint="-0.499984740745262"/>
        <rFont val="Times New Roman"/>
        <family val="1"/>
      </rPr>
      <t>4 kota menyumbang 50% merata</t>
    </r>
    <r>
      <rPr>
        <b/>
        <sz val="12"/>
        <color theme="1"/>
        <rFont val="Times New Roman"/>
        <family val="1"/>
      </rPr>
      <t xml:space="preserve"> </t>
    </r>
    <r>
      <rPr>
        <b/>
        <sz val="11"/>
        <color theme="1" tint="0.499984740745262"/>
        <rFont val="Times New Roman"/>
        <family val="1"/>
      </rPr>
      <t>yakni Semarang, Makassar, Surabaya, Medan, tidak ada dominasi ekstreme di salah satu kota</t>
    </r>
  </si>
  <si>
    <r>
      <t xml:space="preserve">● </t>
    </r>
    <r>
      <rPr>
        <b/>
        <sz val="14"/>
        <color theme="4" tint="-0.499984740745262"/>
        <rFont val="Times New Roman"/>
        <family val="1"/>
      </rPr>
      <t>Reseller dengan AOV lebih rendah dari Retail</t>
    </r>
    <r>
      <rPr>
        <b/>
        <sz val="11"/>
        <color theme="9" tint="-0.249977111117893"/>
        <rFont val="Times New Roman"/>
        <family val="1"/>
      </rPr>
      <t xml:space="preserve"> </t>
    </r>
    <r>
      <rPr>
        <b/>
        <sz val="11"/>
        <color theme="1" tint="0.499984740745262"/>
        <rFont val="Times New Roman"/>
        <family val="1"/>
      </rPr>
      <t>Rp1,03 Jt vs Rp1,31 Jt.Hal ini berlawanan dengan pola bisnis wajar</t>
    </r>
  </si>
  <si>
    <r>
      <rPr>
        <b/>
        <sz val="14"/>
        <color theme="9" tint="-0.249977111117893"/>
        <rFont val="Times New Roman"/>
        <family val="1"/>
      </rPr>
      <t>●</t>
    </r>
    <r>
      <rPr>
        <b/>
        <sz val="14"/>
        <color theme="1"/>
        <rFont val="Times New Roman"/>
        <family val="1"/>
      </rPr>
      <t xml:space="preserve"> </t>
    </r>
    <r>
      <rPr>
        <b/>
        <sz val="14"/>
        <color theme="4" tint="-0.499984740745262"/>
        <rFont val="Times New Roman"/>
        <family val="1"/>
      </rPr>
      <t>Mouse Wireless mendominasi sendirian</t>
    </r>
    <r>
      <rPr>
        <b/>
        <sz val="12"/>
        <color theme="1" tint="0.499984740745262"/>
        <rFont val="Times New Roman"/>
        <family val="1"/>
      </rPr>
      <t xml:space="preserve"> </t>
    </r>
    <r>
      <rPr>
        <b/>
        <sz val="11"/>
        <color theme="1" tint="0.499984740745262"/>
        <rFont val="Times New Roman"/>
        <family val="1"/>
      </rPr>
      <t>50% lebih tinggi dari produk terlaris ke-2 sehingga beresiko pada konsentrasi produk</t>
    </r>
  </si>
  <si>
    <r>
      <rPr>
        <b/>
        <sz val="14"/>
        <color theme="9" tint="-0.249977111117893"/>
        <rFont val="Times New Roman"/>
        <family val="1"/>
      </rPr>
      <t>●</t>
    </r>
    <r>
      <rPr>
        <b/>
        <sz val="14"/>
        <color theme="1"/>
        <rFont val="Times New Roman"/>
        <family val="1"/>
      </rPr>
      <t xml:space="preserve"> </t>
    </r>
    <r>
      <rPr>
        <b/>
        <sz val="14"/>
        <color theme="4" tint="-0.499984740745262"/>
        <rFont val="Times New Roman"/>
        <family val="1"/>
      </rPr>
      <t>QRIS metode pembayaran terbesar</t>
    </r>
    <r>
      <rPr>
        <b/>
        <sz val="14"/>
        <color theme="1"/>
        <rFont val="Times New Roman"/>
        <family val="1"/>
      </rPr>
      <t xml:space="preserve"> </t>
    </r>
    <r>
      <rPr>
        <b/>
        <sz val="11"/>
        <color theme="1" tint="0.499984740745262"/>
        <rFont val="Times New Roman"/>
        <family val="1"/>
      </rPr>
      <t>28,5% dari total, menyebabkan pergeseran yang kuat ke pembayaran digital.</t>
    </r>
  </si>
  <si>
    <t>(All)</t>
  </si>
  <si>
    <t>AOV Penjualan</t>
  </si>
  <si>
    <t>Transaksi</t>
  </si>
  <si>
    <t>Jumlah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</si>
</sst>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Rp&quot;#,##0"/>
    <numFmt numFmtId="165" formatCode="yyyy\-mm\-dd;@"/>
    <numFmt numFmtId="166" formatCode="#,##0.00&quot;x&quot;"/>
    <numFmt numFmtId="167" formatCode="&quot;Rp&quot;\ #,##0"/>
    <numFmt numFmtId="168" formatCode="&quot;Rp&quot;#,###"/>
    <numFmt numFmtId="169" formatCode="\ \ \ &quot;Rp&quot;#,##0.0,,&quot;Jt&quot;"/>
    <numFmt numFmtId="170" formatCode="0.0%"/>
    <numFmt numFmtId="171" formatCode="#,##0\ &quot;Transaksi&quot;"/>
    <numFmt numFmtId="172" formatCode="#,##0\ &quot;Items&quot;"/>
  </numFmts>
  <fonts count="91" x14ac:knownFonts="1">
    <font>
      <sz val="11"/>
      <color theme="1"/>
      <name val="Calibri"/>
      <family val="2"/>
      <charset val="1"/>
    </font>
    <font>
      <b/>
      <sz val="11"/>
      <color rgb="FFFFFFFF"/>
      <name val="Arial"/>
      <family val="2"/>
    </font>
    <font>
      <sz val="10"/>
      <name val="Arial"/>
      <family val="2"/>
    </font>
    <font>
      <sz val="10"/>
      <name val="Arial"/>
      <family val="2"/>
    </font>
    <font>
      <b/>
      <sz val="11"/>
      <color rgb="FFFFFFFF"/>
      <name val="Arial"/>
      <family val="2"/>
    </font>
    <font>
      <sz val="11"/>
      <name val="Arial"/>
      <family val="2"/>
    </font>
    <font>
      <sz val="11"/>
      <color rgb="FF52514E"/>
      <name val="Segoe UI"/>
      <family val="2"/>
    </font>
    <font>
      <sz val="8"/>
      <name val="Calibri"/>
      <family val="2"/>
      <charset val="1"/>
    </font>
    <font>
      <b/>
      <sz val="11"/>
      <color theme="1"/>
      <name val="Calibri"/>
      <family val="2"/>
    </font>
    <font>
      <sz val="11"/>
      <color theme="1"/>
      <name val="Calibri"/>
      <family val="2"/>
    </font>
    <font>
      <b/>
      <sz val="11"/>
      <color theme="1"/>
      <name val="Calibri"/>
      <family val="2"/>
      <charset val="1"/>
    </font>
    <font>
      <sz val="11"/>
      <name val="Calibri"/>
      <family val="2"/>
      <charset val="1"/>
    </font>
    <font>
      <sz val="11"/>
      <name val="Segoe UI"/>
      <family val="2"/>
    </font>
    <font>
      <b/>
      <sz val="11"/>
      <name val="Calibri"/>
      <family val="2"/>
    </font>
    <font>
      <b/>
      <sz val="14"/>
      <color theme="1"/>
      <name val="Calibri"/>
      <family val="2"/>
      <charset val="1"/>
    </font>
    <font>
      <b/>
      <sz val="14"/>
      <color theme="1"/>
      <name val="Calibri"/>
      <family val="2"/>
    </font>
    <font>
      <b/>
      <sz val="20"/>
      <color rgb="FF1F4E79"/>
      <name val="Arial"/>
      <family val="2"/>
    </font>
    <font>
      <i/>
      <sz val="12"/>
      <color rgb="FF595959"/>
      <name val="Arial"/>
      <family val="2"/>
    </font>
    <font>
      <b/>
      <sz val="15"/>
      <color rgb="FF1F4E79"/>
      <name val="Arial"/>
      <family val="2"/>
    </font>
    <font>
      <sz val="9"/>
      <color rgb="FF595959"/>
      <name val="Arial"/>
      <family val="2"/>
    </font>
    <font>
      <b/>
      <sz val="11"/>
      <color rgb="FF1F4E79"/>
      <name val="Calibri"/>
      <family val="2"/>
      <scheme val="minor"/>
    </font>
    <font>
      <b/>
      <sz val="11"/>
      <color rgb="FF000000"/>
      <name val="Calibri"/>
      <family val="2"/>
      <scheme val="minor"/>
    </font>
    <font>
      <sz val="11"/>
      <color rgb="FF333333"/>
      <name val="Calibri"/>
      <family val="2"/>
      <scheme val="minor"/>
    </font>
    <font>
      <b/>
      <sz val="11"/>
      <color rgb="FF000000"/>
      <name val="Arial"/>
      <family val="2"/>
    </font>
    <font>
      <sz val="11"/>
      <color rgb="FF333333"/>
      <name val="Arial"/>
      <family val="2"/>
    </font>
    <font>
      <i/>
      <sz val="11"/>
      <color rgb="FF595959"/>
      <name val="Arial"/>
      <family val="2"/>
    </font>
    <font>
      <b/>
      <sz val="11"/>
      <color theme="3"/>
      <name val="Arial"/>
      <family val="2"/>
    </font>
    <font>
      <b/>
      <sz val="16"/>
      <color theme="0"/>
      <name val="Calibri"/>
      <family val="2"/>
    </font>
    <font>
      <b/>
      <sz val="16"/>
      <color theme="0"/>
      <name val="Times New Roman"/>
      <family val="1"/>
    </font>
    <font>
      <sz val="11"/>
      <color theme="0"/>
      <name val="Calibri"/>
      <family val="2"/>
    </font>
    <font>
      <sz val="12"/>
      <color theme="1"/>
      <name val="Calibri"/>
      <family val="2"/>
      <charset val="1"/>
    </font>
    <font>
      <b/>
      <sz val="11"/>
      <color theme="0"/>
      <name val="Calibri"/>
      <family val="2"/>
    </font>
    <font>
      <b/>
      <sz val="14"/>
      <color theme="0"/>
      <name val="Calibri"/>
      <family val="2"/>
    </font>
    <font>
      <b/>
      <sz val="24"/>
      <color theme="0"/>
      <name val="Times New Roman"/>
      <family val="1"/>
    </font>
    <font>
      <sz val="14"/>
      <color theme="1"/>
      <name val="Times New Roman"/>
      <family val="1"/>
    </font>
    <font>
      <b/>
      <sz val="18"/>
      <color theme="9"/>
      <name val="Times New Roman"/>
      <family val="1"/>
    </font>
    <font>
      <sz val="11"/>
      <color theme="0" tint="-0.14999847407452621"/>
      <name val="Calibri"/>
      <family val="2"/>
    </font>
    <font>
      <sz val="11"/>
      <color theme="1" tint="0.499984740745262"/>
      <name val="Calibri"/>
      <family val="2"/>
    </font>
    <font>
      <b/>
      <sz val="11"/>
      <color theme="1"/>
      <name val="Times New Roman"/>
      <family val="1"/>
    </font>
    <font>
      <b/>
      <sz val="12"/>
      <color theme="1"/>
      <name val="Times New Roman"/>
      <family val="1"/>
    </font>
    <font>
      <b/>
      <sz val="14"/>
      <color theme="1"/>
      <name val="Times New Roman"/>
      <family val="1"/>
    </font>
    <font>
      <b/>
      <sz val="36"/>
      <color theme="0"/>
      <name val="Times New Roman"/>
      <family val="1"/>
    </font>
    <font>
      <sz val="11"/>
      <color theme="9" tint="-0.249977111117893"/>
      <name val="Calibri"/>
      <family val="2"/>
      <charset val="1"/>
    </font>
    <font>
      <b/>
      <sz val="24"/>
      <color theme="9" tint="-0.249977111117893"/>
      <name val="Times New Roman"/>
      <family val="1"/>
    </font>
    <font>
      <b/>
      <sz val="14"/>
      <color theme="9" tint="-0.249977111117893"/>
      <name val="Calibri"/>
      <family val="2"/>
    </font>
    <font>
      <b/>
      <sz val="16"/>
      <color theme="9" tint="-0.249977111117893"/>
      <name val="Calibri"/>
      <family val="2"/>
    </font>
    <font>
      <b/>
      <sz val="24"/>
      <color theme="4" tint="-0.499984740745262"/>
      <name val="Times New Roman"/>
      <family val="1"/>
    </font>
    <font>
      <sz val="11"/>
      <color theme="0" tint="-0.499984740745262"/>
      <name val="Calibri"/>
      <family val="2"/>
      <charset val="1"/>
    </font>
    <font>
      <sz val="14"/>
      <color theme="0"/>
      <name val="Times New Roman"/>
      <family val="1"/>
    </font>
    <font>
      <b/>
      <i/>
      <sz val="14"/>
      <color theme="0"/>
      <name val="Times New Roman"/>
      <family val="1"/>
    </font>
    <font>
      <b/>
      <sz val="14"/>
      <color theme="0"/>
      <name val="Times New Roman"/>
      <family val="1"/>
    </font>
    <font>
      <b/>
      <sz val="26"/>
      <color theme="4" tint="-0.499984740745262"/>
      <name val="Times New Roman"/>
      <family val="1"/>
    </font>
    <font>
      <b/>
      <sz val="28"/>
      <color theme="4" tint="-0.499984740745262"/>
      <name val="Times New Roman"/>
      <family val="1"/>
    </font>
    <font>
      <b/>
      <sz val="11"/>
      <color theme="9" tint="-0.249977111117893"/>
      <name val="Times New Roman"/>
      <family val="1"/>
    </font>
    <font>
      <b/>
      <sz val="12"/>
      <color theme="9" tint="-0.249977111117893"/>
      <name val="Times New Roman"/>
      <family val="1"/>
    </font>
    <font>
      <b/>
      <sz val="11"/>
      <color theme="4" tint="-0.499984740745262"/>
      <name val="Calibri"/>
      <family val="2"/>
    </font>
    <font>
      <b/>
      <sz val="16"/>
      <color theme="4" tint="-0.499984740745262"/>
      <name val="Times New Roman"/>
      <family val="1"/>
    </font>
    <font>
      <b/>
      <sz val="10"/>
      <color theme="1" tint="0.499984740745262"/>
      <name val="Calibri"/>
      <family val="2"/>
    </font>
    <font>
      <b/>
      <sz val="11"/>
      <color theme="0" tint="-0.499984740745262"/>
      <name val="Calibri"/>
      <family val="2"/>
    </font>
    <font>
      <b/>
      <sz val="14"/>
      <color theme="9" tint="-0.249977111117893"/>
      <name val="Times New Roman"/>
      <family val="1"/>
    </font>
    <font>
      <b/>
      <sz val="12"/>
      <color theme="1" tint="0.499984740745262"/>
      <name val="Times New Roman"/>
      <family val="1"/>
    </font>
    <font>
      <b/>
      <sz val="11"/>
      <color theme="1" tint="0.499984740745262"/>
      <name val="Times New Roman"/>
      <family val="1"/>
    </font>
    <font>
      <b/>
      <sz val="10"/>
      <color theme="0" tint="-0.249977111117893"/>
      <name val="Calibri"/>
      <family val="2"/>
    </font>
    <font>
      <b/>
      <sz val="10"/>
      <color theme="0" tint="-0.499984740745262"/>
      <name val="Calibri"/>
      <family val="2"/>
    </font>
    <font>
      <b/>
      <sz val="28"/>
      <color theme="3" tint="-0.499984740745262"/>
      <name val="Times New Roman"/>
      <family val="1"/>
    </font>
    <font>
      <b/>
      <sz val="12"/>
      <color theme="0"/>
      <name val="Calibri"/>
      <family val="2"/>
    </font>
    <font>
      <b/>
      <sz val="14"/>
      <color theme="3" tint="-0.499984740745262"/>
      <name val="Times New Roman"/>
      <family val="1"/>
    </font>
    <font>
      <b/>
      <sz val="11"/>
      <color theme="3" tint="-0.499984740745262"/>
      <name val="Calibri"/>
      <family val="2"/>
    </font>
    <font>
      <b/>
      <sz val="10"/>
      <color theme="0" tint="-0.499984740745262"/>
      <name val="Calibri"/>
      <family val="2"/>
      <scheme val="minor"/>
    </font>
    <font>
      <b/>
      <sz val="10"/>
      <color theme="0"/>
      <name val="Calibri"/>
      <family val="2"/>
    </font>
    <font>
      <b/>
      <sz val="10"/>
      <color theme="4" tint="-0.499984740745262"/>
      <name val="Calibri"/>
      <family val="2"/>
    </font>
    <font>
      <sz val="10"/>
      <color theme="9" tint="-0.499984740745262"/>
      <name val="Calibri"/>
      <family val="2"/>
      <scheme val="minor"/>
    </font>
    <font>
      <b/>
      <sz val="26"/>
      <color theme="3" tint="-0.499984740745262"/>
      <name val="Times New Roman"/>
      <family val="1"/>
    </font>
    <font>
      <b/>
      <sz val="11"/>
      <color theme="1" tint="0.249977111117893"/>
      <name val="Calibri"/>
      <family val="2"/>
    </font>
    <font>
      <sz val="11"/>
      <color theme="3" tint="-0.499984740745262"/>
      <name val="Calibri"/>
      <family val="2"/>
      <charset val="1"/>
    </font>
    <font>
      <sz val="11"/>
      <color theme="2" tint="-0.499984740745262"/>
      <name val="Calibri"/>
      <family val="2"/>
      <charset val="1"/>
    </font>
    <font>
      <b/>
      <sz val="11"/>
      <color theme="0" tint="-0.14999847407452621"/>
      <name val="Calibri"/>
      <family val="2"/>
    </font>
    <font>
      <b/>
      <sz val="11"/>
      <color theme="1" tint="0.34998626667073579"/>
      <name val="Calibri"/>
      <family val="2"/>
    </font>
    <font>
      <b/>
      <sz val="12"/>
      <color theme="4" tint="-0.499984740745262"/>
      <name val="Calibri"/>
      <family val="2"/>
    </font>
    <font>
      <b/>
      <sz val="22"/>
      <color theme="3" tint="-0.499984740745262"/>
      <name val="Times New Roman"/>
      <family val="1"/>
    </font>
    <font>
      <b/>
      <sz val="16"/>
      <color theme="9" tint="-0.249977111117893"/>
      <name val="Calibri"/>
      <family val="2"/>
      <scheme val="minor"/>
    </font>
    <font>
      <b/>
      <sz val="28"/>
      <color theme="0"/>
      <name val="Calibri"/>
      <family val="2"/>
    </font>
    <font>
      <b/>
      <sz val="16"/>
      <color theme="3" tint="-0.499984740745262"/>
      <name val="Times New Roman"/>
      <family val="1"/>
    </font>
    <font>
      <sz val="11"/>
      <color theme="1" tint="0.499984740745262"/>
      <name val="Calibri"/>
      <family val="2"/>
      <charset val="1"/>
    </font>
    <font>
      <b/>
      <sz val="11"/>
      <color theme="9" tint="-0.249977111117893"/>
      <name val="Calibri"/>
      <family val="2"/>
    </font>
    <font>
      <b/>
      <sz val="18"/>
      <color theme="0"/>
      <name val="Calibri"/>
      <family val="2"/>
    </font>
    <font>
      <b/>
      <sz val="36"/>
      <color theme="0"/>
      <name val="Calibri"/>
      <family val="2"/>
    </font>
    <font>
      <b/>
      <sz val="20"/>
      <color theme="9" tint="-0.249977111117893"/>
      <name val="Calibri"/>
      <family val="2"/>
    </font>
    <font>
      <b/>
      <sz val="14"/>
      <color theme="4" tint="-0.499984740745262"/>
      <name val="Times New Roman"/>
      <family val="1"/>
    </font>
    <font>
      <b/>
      <sz val="24"/>
      <color theme="4" tint="-0.499984740745262"/>
      <name val="Calibri"/>
      <family val="2"/>
      <charset val="1"/>
    </font>
    <font>
      <b/>
      <sz val="20"/>
      <color theme="4" tint="-0.499984740745262"/>
      <name val="Calibri"/>
      <family val="2"/>
      <charset val="1"/>
    </font>
  </fonts>
  <fills count="20">
    <fill>
      <patternFill patternType="none"/>
    </fill>
    <fill>
      <patternFill patternType="gray125"/>
    </fill>
    <fill>
      <patternFill patternType="solid">
        <fgColor rgb="FF1F4E78"/>
        <bgColor rgb="FF003366"/>
      </patternFill>
    </fill>
    <fill>
      <patternFill patternType="solid">
        <fgColor rgb="FFFFF2CC"/>
        <bgColor rgb="FFFFFFFF"/>
      </patternFill>
    </fill>
    <fill>
      <patternFill patternType="solid">
        <fgColor theme="4" tint="0.79998168889431442"/>
        <bgColor theme="4" tint="0.79998168889431442"/>
      </patternFill>
    </fill>
    <fill>
      <patternFill patternType="solid">
        <fgColor theme="3" tint="0.79998168889431442"/>
        <bgColor indexed="64"/>
      </patternFill>
    </fill>
    <fill>
      <patternFill patternType="solid">
        <fgColor rgb="FFF2F6FA"/>
        <bgColor rgb="FFFFFFCC"/>
      </patternFill>
    </fill>
    <fill>
      <patternFill patternType="solid">
        <fgColor theme="0"/>
        <bgColor indexed="64"/>
      </patternFill>
    </fill>
    <fill>
      <patternFill patternType="solid">
        <fgColor theme="3" tint="-0.499984740745262"/>
        <bgColor indexed="64"/>
      </patternFill>
    </fill>
    <fill>
      <patternFill patternType="solid">
        <fgColor theme="2" tint="-9.9978637043366805E-2"/>
        <bgColor indexed="64"/>
      </patternFill>
    </fill>
    <fill>
      <patternFill patternType="solid">
        <fgColor theme="4" tint="-0.499984740745262"/>
        <bgColor indexed="64"/>
      </patternFill>
    </fill>
    <fill>
      <patternFill patternType="solid">
        <fgColor theme="9" tint="-0.499984740745262"/>
        <bgColor indexed="64"/>
      </patternFill>
    </fill>
    <fill>
      <patternFill patternType="solid">
        <fgColor theme="1" tint="0.499984740745262"/>
        <bgColor indexed="64"/>
      </patternFill>
    </fill>
    <fill>
      <patternFill patternType="solid">
        <fgColor theme="3" tint="-0.249977111117893"/>
        <bgColor indexed="64"/>
      </patternFill>
    </fill>
    <fill>
      <patternFill patternType="solid">
        <fgColor theme="9" tint="-0.249977111117893"/>
        <bgColor indexed="64"/>
      </patternFill>
    </fill>
    <fill>
      <patternFill patternType="solid">
        <fgColor rgb="FF003300"/>
        <bgColor indexed="64"/>
      </patternFill>
    </fill>
    <fill>
      <patternFill patternType="solid">
        <fgColor theme="1" tint="0.34998626667073579"/>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4" tint="0.79998168889431442"/>
        <bgColor indexed="64"/>
      </patternFill>
    </fill>
  </fills>
  <borders count="19">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style="thin">
        <color rgb="FFD9E2EC"/>
      </left>
      <right style="thin">
        <color rgb="FFD9E2EC"/>
      </right>
      <top style="thin">
        <color rgb="FFD9E2EC"/>
      </top>
      <bottom/>
      <diagonal/>
    </border>
    <border>
      <left style="thin">
        <color rgb="FFD9E2EC"/>
      </left>
      <right style="thin">
        <color rgb="FFD9E2EC"/>
      </right>
      <top/>
      <bottom style="thin">
        <color rgb="FFD9E2EC"/>
      </bottom>
      <diagonal/>
    </border>
    <border>
      <left/>
      <right/>
      <top/>
      <bottom style="medium">
        <color rgb="FF1F4E79"/>
      </bottom>
      <diagonal/>
    </border>
    <border>
      <left/>
      <right/>
      <top style="thin">
        <color rgb="FFBFBFBF"/>
      </top>
      <bottom/>
      <diagonal/>
    </border>
    <border>
      <left/>
      <right/>
      <top/>
      <bottom style="medium">
        <color theme="3"/>
      </bottom>
      <diagonal/>
    </border>
    <border>
      <left/>
      <right/>
      <top style="medium">
        <color theme="3"/>
      </top>
      <bottom/>
      <diagonal/>
    </border>
    <border>
      <left/>
      <right/>
      <top/>
      <bottom style="thick">
        <color theme="3"/>
      </bottom>
      <diagonal/>
    </border>
    <border>
      <left/>
      <right/>
      <top/>
      <bottom style="slantDashDot">
        <color theme="2" tint="-0.749992370372631"/>
      </bottom>
      <diagonal/>
    </border>
    <border>
      <left/>
      <right/>
      <top style="slantDashDot">
        <color theme="2" tint="-0.749992370372631"/>
      </top>
      <bottom/>
      <diagonal/>
    </border>
    <border>
      <left/>
      <right/>
      <top style="thick">
        <color theme="3"/>
      </top>
      <bottom/>
      <diagonal/>
    </border>
    <border>
      <left/>
      <right/>
      <top style="dashDotDot">
        <color theme="3" tint="-0.499984740745262"/>
      </top>
      <bottom/>
      <diagonal/>
    </border>
    <border>
      <left/>
      <right/>
      <top/>
      <bottom style="dashDotDot">
        <color theme="3" tint="-0.499984740745262"/>
      </bottom>
      <diagonal/>
    </border>
  </borders>
  <cellStyleXfs count="1">
    <xf numFmtId="0" fontId="0" fillId="0" borderId="0"/>
  </cellStyleXfs>
  <cellXfs count="223">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center"/>
    </xf>
    <xf numFmtId="164" fontId="2" fillId="0" borderId="1" xfId="0" applyNumberFormat="1" applyFont="1" applyBorder="1" applyAlignment="1">
      <alignment vertical="center"/>
    </xf>
    <xf numFmtId="0" fontId="2" fillId="3" borderId="1" xfId="0" applyFont="1" applyFill="1" applyBorder="1" applyAlignment="1">
      <alignment vertical="center"/>
    </xf>
    <xf numFmtId="0" fontId="0" fillId="0" borderId="0" xfId="0" applyAlignment="1">
      <alignment vertical="center" wrapText="1"/>
    </xf>
    <xf numFmtId="0" fontId="0" fillId="0" borderId="0" xfId="0" applyAlignment="1">
      <alignment vertical="center"/>
    </xf>
    <xf numFmtId="0" fontId="4" fillId="2" borderId="1" xfId="0" applyFont="1" applyFill="1" applyBorder="1" applyAlignment="1">
      <alignment horizontal="center" vertical="center"/>
    </xf>
    <xf numFmtId="0" fontId="5" fillId="0" borderId="1" xfId="0" applyFont="1" applyBorder="1" applyAlignment="1">
      <alignment vertical="center"/>
    </xf>
    <xf numFmtId="0" fontId="5" fillId="3" borderId="1" xfId="0" applyFont="1" applyFill="1" applyBorder="1" applyAlignment="1">
      <alignment vertical="center"/>
    </xf>
    <xf numFmtId="0" fontId="5" fillId="0" borderId="2" xfId="0" applyFont="1" applyBorder="1" applyAlignment="1">
      <alignment vertical="center"/>
    </xf>
    <xf numFmtId="0" fontId="3" fillId="0" borderId="2" xfId="0" applyFont="1" applyBorder="1" applyAlignment="1">
      <alignment vertical="center"/>
    </xf>
    <xf numFmtId="0" fontId="6" fillId="0" borderId="0" xfId="0" applyFont="1"/>
    <xf numFmtId="165" fontId="2" fillId="0" borderId="1" xfId="0" applyNumberFormat="1" applyFont="1" applyBorder="1" applyAlignment="1">
      <alignment vertical="center"/>
    </xf>
    <xf numFmtId="14" fontId="1" fillId="2" borderId="1" xfId="0" applyNumberFormat="1" applyFont="1" applyFill="1" applyBorder="1" applyAlignment="1">
      <alignment horizontal="center" vertical="center"/>
    </xf>
    <xf numFmtId="14" fontId="0" fillId="0" borderId="0" xfId="0" applyNumberFormat="1"/>
    <xf numFmtId="0" fontId="4" fillId="2" borderId="3" xfId="0" applyFont="1" applyFill="1" applyBorder="1" applyAlignment="1">
      <alignment horizontal="center" vertical="center"/>
    </xf>
    <xf numFmtId="0" fontId="4" fillId="2" borderId="0" xfId="0" applyFont="1" applyFill="1" applyAlignment="1">
      <alignment horizontal="center" vertical="center"/>
    </xf>
    <xf numFmtId="0" fontId="4" fillId="2" borderId="0" xfId="0" applyFont="1" applyFill="1" applyAlignment="1">
      <alignment horizontal="center" vertical="center" wrapText="1"/>
    </xf>
    <xf numFmtId="0" fontId="0" fillId="0" borderId="0" xfId="0" applyAlignment="1">
      <alignment wrapText="1"/>
    </xf>
    <xf numFmtId="0" fontId="0" fillId="0" borderId="4" xfId="0" applyBorder="1" applyAlignment="1">
      <alignment vertical="center" wrapText="1"/>
    </xf>
    <xf numFmtId="0" fontId="0" fillId="0" borderId="4" xfId="0" applyBorder="1" applyAlignment="1">
      <alignment horizontal="left" vertical="center" wrapText="1"/>
    </xf>
    <xf numFmtId="0" fontId="8" fillId="0" borderId="4" xfId="0" applyFont="1" applyBorder="1" applyAlignment="1">
      <alignment horizontal="center" vertical="center" wrapText="1"/>
    </xf>
    <xf numFmtId="0" fontId="0" fillId="0" borderId="4" xfId="0" applyBorder="1" applyAlignment="1">
      <alignment horizontal="center" vertical="center"/>
    </xf>
    <xf numFmtId="0" fontId="5" fillId="0" borderId="0" xfId="0" applyFont="1" applyAlignment="1">
      <alignment vertical="center" wrapText="1"/>
    </xf>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right"/>
    </xf>
    <xf numFmtId="0" fontId="0" fillId="0" borderId="0" xfId="0" applyAlignment="1">
      <alignment horizontal="right" vertical="center"/>
    </xf>
    <xf numFmtId="0" fontId="9" fillId="0" borderId="0" xfId="0" applyFont="1" applyAlignment="1">
      <alignment vertical="center" wrapText="1"/>
    </xf>
    <xf numFmtId="0" fontId="10" fillId="4" borderId="5" xfId="0" applyFont="1" applyFill="1" applyBorder="1"/>
    <xf numFmtId="164" fontId="10" fillId="4" borderId="6" xfId="0" applyNumberFormat="1" applyFont="1" applyFill="1" applyBorder="1"/>
    <xf numFmtId="10" fontId="0" fillId="0" borderId="0" xfId="0" applyNumberFormat="1" applyAlignment="1">
      <alignment wrapText="1"/>
    </xf>
    <xf numFmtId="164" fontId="0" fillId="0" borderId="0" xfId="0" applyNumberFormat="1" applyAlignment="1">
      <alignment wrapText="1"/>
    </xf>
    <xf numFmtId="0" fontId="0" fillId="0" borderId="0" xfId="0" pivotButton="1" applyAlignment="1">
      <alignment wrapText="1"/>
    </xf>
    <xf numFmtId="0" fontId="0" fillId="0" borderId="0" xfId="0" applyAlignment="1">
      <alignment horizontal="left" wrapText="1"/>
    </xf>
    <xf numFmtId="0" fontId="10" fillId="0" borderId="0" xfId="0" applyFont="1" applyAlignment="1">
      <alignment wrapText="1"/>
    </xf>
    <xf numFmtId="0" fontId="10" fillId="4" borderId="5" xfId="0" applyFont="1" applyFill="1" applyBorder="1" applyAlignment="1">
      <alignment wrapText="1"/>
    </xf>
    <xf numFmtId="164" fontId="10" fillId="4" borderId="6" xfId="0" applyNumberFormat="1" applyFont="1" applyFill="1" applyBorder="1" applyAlignment="1">
      <alignment wrapText="1"/>
    </xf>
    <xf numFmtId="0" fontId="8" fillId="5" borderId="0" xfId="0" applyFont="1" applyFill="1" applyAlignment="1">
      <alignment vertical="center" wrapText="1"/>
    </xf>
    <xf numFmtId="0" fontId="0" fillId="0" borderId="4" xfId="0" applyBorder="1" applyAlignment="1">
      <alignment wrapText="1"/>
    </xf>
    <xf numFmtId="0" fontId="6" fillId="0" borderId="0" xfId="0" applyFont="1" applyAlignment="1">
      <alignment wrapText="1"/>
    </xf>
    <xf numFmtId="167" fontId="0" fillId="0" borderId="0" xfId="0" applyNumberFormat="1" applyAlignment="1">
      <alignment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vertical="center" wrapText="1"/>
    </xf>
    <xf numFmtId="1" fontId="0" fillId="0" borderId="0" xfId="0" applyNumberFormat="1" applyAlignment="1">
      <alignment wrapText="1"/>
    </xf>
    <xf numFmtId="168" fontId="0" fillId="0" borderId="0" xfId="0" applyNumberFormat="1" applyAlignment="1">
      <alignment wrapText="1"/>
    </xf>
    <xf numFmtId="0" fontId="8" fillId="0" borderId="4" xfId="0" applyFont="1" applyBorder="1" applyAlignment="1">
      <alignment horizontal="center" vertical="center"/>
    </xf>
    <xf numFmtId="164" fontId="11" fillId="0" borderId="4" xfId="0" applyNumberFormat="1" applyFont="1" applyBorder="1"/>
    <xf numFmtId="164" fontId="12" fillId="0" borderId="4" xfId="0" applyNumberFormat="1" applyFont="1" applyBorder="1"/>
    <xf numFmtId="0" fontId="11" fillId="0" borderId="4" xfId="0" applyFont="1" applyBorder="1"/>
    <xf numFmtId="0" fontId="11" fillId="0" borderId="4" xfId="0" applyFont="1" applyBorder="1" applyAlignment="1">
      <alignment wrapText="1"/>
    </xf>
    <xf numFmtId="0" fontId="11" fillId="0" borderId="4" xfId="0" applyFont="1" applyBorder="1" applyAlignment="1">
      <alignment horizontal="center" vertical="center"/>
    </xf>
    <xf numFmtId="164" fontId="11" fillId="0" borderId="4" xfId="0" applyNumberFormat="1" applyFont="1" applyBorder="1" applyAlignment="1">
      <alignment wrapText="1"/>
    </xf>
    <xf numFmtId="0" fontId="12" fillId="0" borderId="4" xfId="0" applyFont="1" applyBorder="1" applyAlignment="1">
      <alignment wrapText="1"/>
    </xf>
    <xf numFmtId="0" fontId="11" fillId="0" borderId="0" xfId="0" applyFont="1" applyAlignment="1">
      <alignment vertical="center" wrapText="1"/>
    </xf>
    <xf numFmtId="0" fontId="11" fillId="0" borderId="0" xfId="0" applyFont="1" applyAlignment="1">
      <alignment vertical="center"/>
    </xf>
    <xf numFmtId="164" fontId="11" fillId="0" borderId="0" xfId="0" applyNumberFormat="1" applyFont="1" applyAlignment="1">
      <alignment vertical="center" wrapText="1"/>
    </xf>
    <xf numFmtId="164" fontId="12" fillId="0" borderId="0" xfId="0" applyNumberFormat="1" applyFont="1" applyAlignment="1">
      <alignment vertical="center"/>
    </xf>
    <xf numFmtId="0" fontId="11" fillId="0" borderId="0" xfId="0" pivotButton="1" applyFont="1" applyAlignment="1">
      <alignment horizontal="center" vertical="center"/>
    </xf>
    <xf numFmtId="0" fontId="11" fillId="0" borderId="0" xfId="0" pivotButton="1" applyFont="1" applyAlignment="1">
      <alignment horizontal="center" vertical="center" wrapText="1"/>
    </xf>
    <xf numFmtId="0" fontId="11" fillId="0" borderId="0" xfId="0" applyFont="1" applyAlignment="1">
      <alignment horizontal="center" vertical="center" wrapText="1"/>
    </xf>
    <xf numFmtId="0" fontId="13" fillId="0" borderId="0" xfId="0" applyFont="1" applyAlignment="1">
      <alignment horizontal="center" vertical="center" wrapText="1"/>
    </xf>
    <xf numFmtId="167" fontId="0" fillId="0" borderId="0" xfId="0" applyNumberFormat="1"/>
    <xf numFmtId="0" fontId="0" fillId="0" borderId="4" xfId="0" applyBorder="1"/>
    <xf numFmtId="0" fontId="0" fillId="0" borderId="0" xfId="0" pivotButton="1" applyAlignment="1">
      <alignment vertical="center"/>
    </xf>
    <xf numFmtId="0" fontId="0" fillId="0" borderId="0" xfId="0" pivotButton="1" applyAlignment="1">
      <alignment vertical="center" wrapText="1"/>
    </xf>
    <xf numFmtId="0" fontId="0" fillId="0" borderId="0" xfId="0" pivotButton="1" applyAlignment="1">
      <alignment horizontal="center" vertical="center"/>
    </xf>
    <xf numFmtId="0" fontId="0" fillId="0" borderId="0" xfId="0" pivotButton="1" applyAlignment="1">
      <alignment horizontal="center" vertical="center" wrapText="1"/>
    </xf>
    <xf numFmtId="164" fontId="0" fillId="0" borderId="0" xfId="0" applyNumberFormat="1" applyAlignment="1">
      <alignment vertical="center" wrapText="1"/>
    </xf>
    <xf numFmtId="10" fontId="0" fillId="0" borderId="0" xfId="0" applyNumberFormat="1" applyAlignment="1">
      <alignment vertical="center" wrapText="1"/>
    </xf>
    <xf numFmtId="0" fontId="8" fillId="5" borderId="0" xfId="0" applyFont="1" applyFill="1" applyAlignment="1">
      <alignment vertical="center"/>
    </xf>
    <xf numFmtId="0" fontId="8" fillId="5" borderId="0" xfId="0" applyFont="1" applyFill="1" applyAlignment="1">
      <alignment horizontal="centerContinuous" vertical="center"/>
    </xf>
    <xf numFmtId="0" fontId="0" fillId="5" borderId="0" xfId="0" applyFill="1" applyAlignment="1">
      <alignment horizontal="centerContinuous"/>
    </xf>
    <xf numFmtId="0" fontId="9" fillId="0" borderId="4" xfId="0" applyFont="1" applyBorder="1" applyAlignment="1">
      <alignment vertical="center" wrapText="1"/>
    </xf>
    <xf numFmtId="0" fontId="14" fillId="5" borderId="0" xfId="0" applyFont="1" applyFill="1" applyAlignment="1">
      <alignment horizontal="centerContinuous" vertical="center"/>
    </xf>
    <xf numFmtId="0" fontId="15" fillId="5" borderId="0" xfId="0" applyFont="1" applyFill="1" applyAlignment="1">
      <alignment horizontal="centerContinuous"/>
    </xf>
    <xf numFmtId="0" fontId="15" fillId="5" borderId="0" xfId="0" applyFont="1" applyFill="1" applyAlignment="1">
      <alignment horizontal="centerContinuous" vertical="center"/>
    </xf>
    <xf numFmtId="0" fontId="18" fillId="6" borderId="7" xfId="0" applyFont="1" applyFill="1" applyBorder="1" applyAlignment="1">
      <alignment horizontal="center" vertical="center"/>
    </xf>
    <xf numFmtId="0" fontId="19" fillId="6" borderId="8" xfId="0" applyFont="1" applyFill="1" applyBorder="1" applyAlignment="1">
      <alignment horizontal="center" vertical="center"/>
    </xf>
    <xf numFmtId="0" fontId="15" fillId="0" borderId="0" xfId="0" applyFont="1"/>
    <xf numFmtId="0" fontId="35" fillId="7" borderId="0" xfId="0" applyFont="1" applyFill="1"/>
    <xf numFmtId="0" fontId="0" fillId="7" borderId="0" xfId="0" applyFill="1"/>
    <xf numFmtId="0" fontId="8" fillId="7" borderId="0" xfId="0" applyFont="1" applyFill="1"/>
    <xf numFmtId="0" fontId="34" fillId="7" borderId="0" xfId="0" applyFont="1" applyFill="1"/>
    <xf numFmtId="0" fontId="0" fillId="8" borderId="0" xfId="0" applyFill="1"/>
    <xf numFmtId="0" fontId="0" fillId="8" borderId="0" xfId="0" applyFill="1" applyAlignment="1">
      <alignment horizontal="fill"/>
    </xf>
    <xf numFmtId="0" fontId="41" fillId="8" borderId="0" xfId="0" applyFont="1" applyFill="1" applyAlignment="1">
      <alignment horizontal="fill" wrapText="1"/>
    </xf>
    <xf numFmtId="0" fontId="41" fillId="8" borderId="0" xfId="0" applyFont="1" applyFill="1"/>
    <xf numFmtId="0" fontId="34" fillId="8" borderId="0" xfId="0" applyFont="1" applyFill="1"/>
    <xf numFmtId="0" fontId="0" fillId="9" borderId="0" xfId="0" applyFill="1"/>
    <xf numFmtId="0" fontId="43" fillId="9" borderId="0" xfId="0" applyFont="1" applyFill="1"/>
    <xf numFmtId="0" fontId="46" fillId="9" borderId="0" xfId="0" applyFont="1" applyFill="1"/>
    <xf numFmtId="0" fontId="0" fillId="10" borderId="0" xfId="0" applyFill="1"/>
    <xf numFmtId="0" fontId="44" fillId="7" borderId="0" xfId="0" applyFont="1" applyFill="1"/>
    <xf numFmtId="0" fontId="30" fillId="7" borderId="0" xfId="0" applyFont="1" applyFill="1"/>
    <xf numFmtId="0" fontId="51" fillId="7" borderId="0" xfId="0" applyFont="1" applyFill="1"/>
    <xf numFmtId="0" fontId="54" fillId="9" borderId="0" xfId="0" applyFont="1" applyFill="1"/>
    <xf numFmtId="0" fontId="56" fillId="9" borderId="0" xfId="0" applyFont="1" applyFill="1"/>
    <xf numFmtId="0" fontId="57" fillId="9" borderId="0" xfId="0" applyFont="1" applyFill="1"/>
    <xf numFmtId="0" fontId="48" fillId="8" borderId="0" xfId="0" applyFont="1" applyFill="1"/>
    <xf numFmtId="0" fontId="49" fillId="8" borderId="0" xfId="0" applyFont="1" applyFill="1"/>
    <xf numFmtId="0" fontId="52" fillId="7" borderId="0" xfId="0" applyFont="1" applyFill="1"/>
    <xf numFmtId="0" fontId="58" fillId="9" borderId="0" xfId="0" applyFont="1" applyFill="1"/>
    <xf numFmtId="0" fontId="40" fillId="7" borderId="0" xfId="0" applyFont="1" applyFill="1"/>
    <xf numFmtId="0" fontId="59" fillId="7" borderId="0" xfId="0" applyFont="1" applyFill="1"/>
    <xf numFmtId="0" fontId="54" fillId="8" borderId="0" xfId="0" applyFont="1" applyFill="1"/>
    <xf numFmtId="0" fontId="28" fillId="8" borderId="0" xfId="0" applyFont="1" applyFill="1"/>
    <xf numFmtId="0" fontId="62" fillId="8" borderId="0" xfId="0" applyFont="1" applyFill="1"/>
    <xf numFmtId="0" fontId="63" fillId="9" borderId="0" xfId="0" applyFont="1" applyFill="1"/>
    <xf numFmtId="0" fontId="0" fillId="7" borderId="13" xfId="0" applyFill="1" applyBorder="1"/>
    <xf numFmtId="0" fontId="40" fillId="7" borderId="13" xfId="0" applyFont="1" applyFill="1" applyBorder="1"/>
    <xf numFmtId="0" fontId="66" fillId="9" borderId="0" xfId="0" applyFont="1" applyFill="1"/>
    <xf numFmtId="0" fontId="8" fillId="9" borderId="0" xfId="0" applyFont="1" applyFill="1"/>
    <xf numFmtId="0" fontId="0" fillId="9" borderId="14" xfId="0" applyFill="1" applyBorder="1"/>
    <xf numFmtId="0" fontId="0" fillId="9" borderId="15" xfId="0" applyFill="1" applyBorder="1"/>
    <xf numFmtId="0" fontId="64" fillId="7" borderId="0" xfId="0" applyFont="1" applyFill="1"/>
    <xf numFmtId="0" fontId="0" fillId="7" borderId="0" xfId="0" applyFill="1" applyAlignment="1">
      <alignment horizontal="centerContinuous"/>
    </xf>
    <xf numFmtId="0" fontId="27" fillId="9" borderId="0" xfId="0" applyFont="1" applyFill="1" applyAlignment="1">
      <alignment horizontal="center" vertical="center"/>
    </xf>
    <xf numFmtId="0" fontId="66" fillId="9" borderId="0" xfId="0" applyFont="1" applyFill="1" applyAlignment="1">
      <alignment horizontal="centerContinuous"/>
    </xf>
    <xf numFmtId="0" fontId="0" fillId="9" borderId="0" xfId="0" applyFill="1" applyAlignment="1">
      <alignment horizontal="centerContinuous"/>
    </xf>
    <xf numFmtId="0" fontId="0" fillId="9" borderId="0" xfId="0" applyFill="1" applyAlignment="1">
      <alignment vertical="center"/>
    </xf>
    <xf numFmtId="0" fontId="0" fillId="7" borderId="16" xfId="0" applyFill="1" applyBorder="1"/>
    <xf numFmtId="0" fontId="8" fillId="0" borderId="0" xfId="0" applyFont="1" applyAlignment="1">
      <alignment vertical="center"/>
    </xf>
    <xf numFmtId="0" fontId="45" fillId="8" borderId="0" xfId="0" applyFont="1" applyFill="1"/>
    <xf numFmtId="0" fontId="31" fillId="8" borderId="0" xfId="0" applyFont="1" applyFill="1"/>
    <xf numFmtId="0" fontId="72" fillId="7" borderId="0" xfId="0" applyFont="1" applyFill="1"/>
    <xf numFmtId="169" fontId="0" fillId="0" borderId="0" xfId="0" applyNumberFormat="1" applyAlignment="1">
      <alignment wrapText="1"/>
    </xf>
    <xf numFmtId="169" fontId="0" fillId="0" borderId="0" xfId="0" applyNumberFormat="1" applyAlignment="1">
      <alignment horizontal="left" vertical="center" wrapText="1"/>
    </xf>
    <xf numFmtId="170" fontId="0" fillId="0" borderId="0" xfId="0" applyNumberFormat="1" applyAlignment="1">
      <alignment horizontal="center" vertical="center" wrapText="1"/>
    </xf>
    <xf numFmtId="0" fontId="31" fillId="10" borderId="0" xfId="0" applyFont="1" applyFill="1" applyAlignment="1">
      <alignment horizontal="center" vertical="center" wrapText="1"/>
    </xf>
    <xf numFmtId="164" fontId="31" fillId="10" borderId="0" xfId="0" applyNumberFormat="1" applyFont="1" applyFill="1" applyAlignment="1">
      <alignment horizontal="center" vertical="center" wrapText="1"/>
    </xf>
    <xf numFmtId="166" fontId="42" fillId="0" borderId="0" xfId="0" applyNumberFormat="1" applyFont="1" applyAlignment="1">
      <alignment horizontal="left" vertical="center" wrapText="1"/>
    </xf>
    <xf numFmtId="166" fontId="74" fillId="0" borderId="0" xfId="0" applyNumberFormat="1" applyFont="1" applyAlignment="1">
      <alignment horizontal="left" vertical="center" wrapText="1"/>
    </xf>
    <xf numFmtId="166" fontId="47" fillId="0" borderId="0" xfId="0" applyNumberFormat="1" applyFont="1" applyAlignment="1">
      <alignment horizontal="left" vertical="center" wrapText="1"/>
    </xf>
    <xf numFmtId="166" fontId="75" fillId="0" borderId="0" xfId="0" applyNumberFormat="1" applyFont="1" applyAlignment="1">
      <alignment horizontal="left" vertical="center" wrapText="1"/>
    </xf>
    <xf numFmtId="0" fontId="47" fillId="9" borderId="0" xfId="0" applyFont="1" applyFill="1" applyAlignment="1">
      <alignment horizontal="centerContinuous"/>
    </xf>
    <xf numFmtId="0" fontId="58" fillId="9" borderId="0" xfId="0" applyFont="1" applyFill="1" applyAlignment="1">
      <alignment horizontal="centerContinuous"/>
    </xf>
    <xf numFmtId="0" fontId="68" fillId="9" borderId="0" xfId="0" applyFont="1" applyFill="1"/>
    <xf numFmtId="0" fontId="45" fillId="9" borderId="0" xfId="0" applyFont="1" applyFill="1"/>
    <xf numFmtId="0" fontId="73" fillId="9" borderId="0" xfId="0" applyFont="1" applyFill="1" applyAlignment="1">
      <alignment vertical="center"/>
    </xf>
    <xf numFmtId="0" fontId="67" fillId="9" borderId="0" xfId="0" applyFont="1" applyFill="1" applyAlignment="1">
      <alignment vertical="center"/>
    </xf>
    <xf numFmtId="0" fontId="44" fillId="9" borderId="0" xfId="0" applyFont="1" applyFill="1"/>
    <xf numFmtId="0" fontId="9" fillId="9" borderId="0" xfId="0" applyFont="1" applyFill="1"/>
    <xf numFmtId="0" fontId="77" fillId="9" borderId="0" xfId="0" applyFont="1" applyFill="1"/>
    <xf numFmtId="0" fontId="79" fillId="9" borderId="0" xfId="0" applyFont="1" applyFill="1" applyAlignment="1">
      <alignment vertical="center"/>
    </xf>
    <xf numFmtId="0" fontId="44" fillId="10" borderId="0" xfId="0" applyFont="1" applyFill="1"/>
    <xf numFmtId="0" fontId="9" fillId="10" borderId="0" xfId="0" applyFont="1" applyFill="1"/>
    <xf numFmtId="0" fontId="76" fillId="10" borderId="0" xfId="0" applyFont="1" applyFill="1"/>
    <xf numFmtId="0" fontId="80" fillId="8" borderId="0" xfId="0" applyFont="1" applyFill="1"/>
    <xf numFmtId="0" fontId="82" fillId="9" borderId="0" xfId="0" applyFont="1" applyFill="1" applyAlignment="1">
      <alignment horizontal="left" vertical="center" wrapText="1"/>
    </xf>
    <xf numFmtId="0" fontId="83" fillId="9" borderId="0" xfId="0" applyFont="1" applyFill="1" applyAlignment="1">
      <alignment horizontal="left" vertical="center" wrapText="1"/>
    </xf>
    <xf numFmtId="0" fontId="0" fillId="9" borderId="18" xfId="0" applyFill="1" applyBorder="1"/>
    <xf numFmtId="0" fontId="0" fillId="9" borderId="17" xfId="0" applyFill="1" applyBorder="1"/>
    <xf numFmtId="0" fontId="65" fillId="10" borderId="0" xfId="0" applyFont="1" applyFill="1"/>
    <xf numFmtId="0" fontId="67" fillId="9" borderId="0" xfId="0" applyFont="1" applyFill="1"/>
    <xf numFmtId="0" fontId="0" fillId="10" borderId="0" xfId="0" applyFill="1" applyAlignment="1">
      <alignment horizontal="centerContinuous"/>
    </xf>
    <xf numFmtId="0" fontId="33" fillId="10" borderId="0" xfId="0" applyFont="1" applyFill="1" applyAlignment="1">
      <alignment horizontal="centerContinuous" vertical="center"/>
    </xf>
    <xf numFmtId="0" fontId="13" fillId="10" borderId="0" xfId="0" applyFont="1" applyFill="1" applyAlignment="1">
      <alignment horizontal="centerContinuous" vertical="center"/>
    </xf>
    <xf numFmtId="0" fontId="0" fillId="10" borderId="0" xfId="0" applyFill="1" applyAlignment="1">
      <alignment vertical="center"/>
    </xf>
    <xf numFmtId="0" fontId="32" fillId="10" borderId="0" xfId="0" applyFont="1" applyFill="1" applyAlignment="1">
      <alignment vertical="center"/>
    </xf>
    <xf numFmtId="0" fontId="29" fillId="10" borderId="0" xfId="0" applyFont="1" applyFill="1" applyAlignment="1">
      <alignment vertical="center"/>
    </xf>
    <xf numFmtId="0" fontId="87" fillId="10" borderId="0" xfId="0" applyFont="1" applyFill="1"/>
    <xf numFmtId="0" fontId="81" fillId="17" borderId="0" xfId="0" applyFont="1" applyFill="1" applyAlignment="1">
      <alignment horizontal="centerContinuous" vertical="center"/>
    </xf>
    <xf numFmtId="0" fontId="81" fillId="17" borderId="0" xfId="0" applyFont="1" applyFill="1" applyAlignment="1">
      <alignment horizontal="centerContinuous" vertical="center" wrapText="1"/>
    </xf>
    <xf numFmtId="0" fontId="0" fillId="17" borderId="0" xfId="0" applyFill="1" applyAlignment="1">
      <alignment horizontal="centerContinuous" wrapText="1"/>
    </xf>
    <xf numFmtId="0" fontId="0" fillId="17" borderId="0" xfId="0" applyFill="1" applyAlignment="1">
      <alignment horizontal="centerContinuous"/>
    </xf>
    <xf numFmtId="0" fontId="46" fillId="9" borderId="0" xfId="0" applyFont="1" applyFill="1" applyAlignment="1">
      <alignment horizontal="centerContinuous"/>
    </xf>
    <xf numFmtId="0" fontId="56" fillId="18" borderId="0" xfId="0" applyFont="1" applyFill="1"/>
    <xf numFmtId="169" fontId="89" fillId="18" borderId="0" xfId="0" applyNumberFormat="1" applyFont="1" applyFill="1"/>
    <xf numFmtId="0" fontId="56" fillId="18" borderId="0" xfId="0" applyFont="1" applyFill="1" applyAlignment="1">
      <alignment horizontal="left" vertical="top"/>
    </xf>
    <xf numFmtId="172" fontId="89" fillId="18" borderId="0" xfId="0" applyNumberFormat="1" applyFont="1" applyFill="1"/>
    <xf numFmtId="171" fontId="90" fillId="18" borderId="0" xfId="0" applyNumberFormat="1" applyFont="1" applyFill="1"/>
    <xf numFmtId="0" fontId="0" fillId="19" borderId="0" xfId="0" applyFill="1"/>
    <xf numFmtId="0" fontId="86" fillId="13" borderId="0" xfId="0" applyFont="1" applyFill="1" applyAlignment="1">
      <alignment horizontal="center" vertical="center"/>
    </xf>
    <xf numFmtId="0" fontId="86" fillId="15" borderId="0" xfId="0" applyFont="1" applyFill="1" applyAlignment="1">
      <alignment horizontal="center" vertical="center"/>
    </xf>
    <xf numFmtId="0" fontId="86" fillId="14" borderId="0" xfId="0" applyFont="1" applyFill="1" applyAlignment="1">
      <alignment horizontal="center" vertical="center" wrapText="1"/>
    </xf>
    <xf numFmtId="0" fontId="86" fillId="16" borderId="0" xfId="0" applyFont="1" applyFill="1" applyAlignment="1">
      <alignment horizontal="center" vertical="center"/>
    </xf>
    <xf numFmtId="0" fontId="67" fillId="9" borderId="0" xfId="0" applyFont="1" applyFill="1" applyAlignment="1">
      <alignment horizontal="center" vertical="center" wrapText="1"/>
    </xf>
    <xf numFmtId="0" fontId="67" fillId="9" borderId="0" xfId="0" applyFont="1" applyFill="1" applyAlignment="1">
      <alignment horizontal="left" vertical="center" wrapText="1"/>
    </xf>
    <xf numFmtId="0" fontId="85" fillId="13" borderId="0" xfId="0" applyFont="1" applyFill="1" applyAlignment="1">
      <alignment horizontal="center" vertical="center"/>
    </xf>
    <xf numFmtId="0" fontId="85" fillId="10" borderId="0" xfId="0" applyFont="1" applyFill="1" applyAlignment="1">
      <alignment horizontal="center" vertical="center" wrapText="1"/>
    </xf>
    <xf numFmtId="0" fontId="85" fillId="14" borderId="0" xfId="0" applyFont="1" applyFill="1" applyAlignment="1">
      <alignment horizontal="center" vertical="center" wrapText="1"/>
    </xf>
    <xf numFmtId="0" fontId="84" fillId="9" borderId="0" xfId="0" applyFont="1" applyFill="1" applyAlignment="1">
      <alignment horizontal="left" vertical="center" wrapText="1"/>
    </xf>
    <xf numFmtId="0" fontId="84" fillId="9" borderId="0" xfId="0" applyFont="1" applyFill="1" applyAlignment="1">
      <alignment horizontal="left" wrapText="1"/>
    </xf>
    <xf numFmtId="0" fontId="83" fillId="9" borderId="0" xfId="0" applyFont="1" applyFill="1" applyAlignment="1">
      <alignment horizontal="left" vertical="center" wrapText="1"/>
    </xf>
    <xf numFmtId="0" fontId="82" fillId="9" borderId="0" xfId="0" applyFont="1" applyFill="1" applyAlignment="1">
      <alignment horizontal="left" vertical="center" wrapText="1"/>
    </xf>
    <xf numFmtId="0" fontId="81" fillId="10" borderId="0" xfId="0" applyFont="1" applyFill="1" applyAlignment="1">
      <alignment horizontal="center" vertical="center"/>
    </xf>
    <xf numFmtId="0" fontId="46" fillId="9" borderId="0" xfId="0" applyFont="1" applyFill="1" applyAlignment="1">
      <alignment horizontal="center" vertical="center"/>
    </xf>
    <xf numFmtId="0" fontId="66" fillId="9" borderId="0" xfId="0" applyFont="1" applyFill="1" applyAlignment="1">
      <alignment horizontal="center" vertical="center"/>
    </xf>
    <xf numFmtId="0" fontId="70" fillId="9" borderId="0" xfId="0" applyFont="1" applyFill="1" applyAlignment="1">
      <alignment horizontal="center" vertical="center"/>
    </xf>
    <xf numFmtId="0" fontId="71" fillId="9" borderId="0" xfId="0" applyFont="1" applyFill="1" applyAlignment="1">
      <alignment horizontal="center" vertical="center"/>
    </xf>
    <xf numFmtId="0" fontId="57" fillId="9" borderId="0" xfId="0" applyFont="1" applyFill="1" applyAlignment="1">
      <alignment horizontal="center"/>
    </xf>
    <xf numFmtId="0" fontId="27" fillId="11" borderId="0" xfId="0" applyFont="1" applyFill="1" applyAlignment="1">
      <alignment horizontal="center" vertical="center"/>
    </xf>
    <xf numFmtId="0" fontId="27" fillId="10" borderId="0" xfId="0" applyFont="1" applyFill="1" applyAlignment="1">
      <alignment horizontal="center" vertical="center"/>
    </xf>
    <xf numFmtId="0" fontId="27" fillId="12" borderId="0" xfId="0" applyFont="1" applyFill="1" applyAlignment="1">
      <alignment horizontal="center" vertical="center"/>
    </xf>
    <xf numFmtId="0" fontId="25" fillId="0" borderId="10" xfId="0" applyFont="1" applyBorder="1" applyAlignment="1">
      <alignment horizontal="left" vertical="top" wrapText="1"/>
    </xf>
    <xf numFmtId="0" fontId="24" fillId="0" borderId="0" xfId="0" applyFont="1" applyAlignment="1">
      <alignment horizontal="left" vertical="top" wrapText="1"/>
    </xf>
    <xf numFmtId="0" fontId="23" fillId="0" borderId="0" xfId="0" applyFont="1" applyAlignment="1">
      <alignment horizontal="left" vertical="top" wrapText="1"/>
    </xf>
    <xf numFmtId="0" fontId="22" fillId="0" borderId="0" xfId="0" applyFont="1" applyAlignment="1">
      <alignment horizontal="left" vertical="top" wrapText="1"/>
    </xf>
    <xf numFmtId="0" fontId="21" fillId="0" borderId="0" xfId="0" applyFont="1" applyAlignment="1">
      <alignment horizontal="left" vertical="top" wrapText="1"/>
    </xf>
    <xf numFmtId="0" fontId="26" fillId="0" borderId="11" xfId="0" applyFont="1" applyBorder="1" applyAlignment="1">
      <alignment horizontal="left" vertical="center"/>
    </xf>
    <xf numFmtId="0" fontId="23" fillId="0" borderId="12" xfId="0" applyFont="1" applyBorder="1" applyAlignment="1">
      <alignment horizontal="left" vertical="top" wrapText="1"/>
    </xf>
    <xf numFmtId="0" fontId="16" fillId="0" borderId="0" xfId="0" applyFont="1" applyAlignment="1">
      <alignment horizontal="center" vertical="center"/>
    </xf>
    <xf numFmtId="0" fontId="17" fillId="0" borderId="0" xfId="0" applyFont="1" applyAlignment="1">
      <alignment horizontal="center" vertical="center"/>
    </xf>
    <xf numFmtId="0" fontId="20" fillId="0" borderId="9" xfId="0" applyFont="1" applyBorder="1" applyAlignment="1">
      <alignment horizontal="left" vertical="center"/>
    </xf>
    <xf numFmtId="0" fontId="9" fillId="0" borderId="0" xfId="0" applyFont="1" applyAlignment="1">
      <alignment horizontal="left" vertical="center" wrapText="1"/>
    </xf>
    <xf numFmtId="0" fontId="0" fillId="0" borderId="0" xfId="0" applyAlignment="1">
      <alignment horizontal="left" vertical="center" wrapText="1"/>
    </xf>
    <xf numFmtId="0" fontId="81" fillId="17" borderId="0" xfId="0" applyFont="1" applyFill="1" applyAlignment="1">
      <alignment horizontal="center" vertical="center"/>
    </xf>
    <xf numFmtId="167" fontId="8" fillId="0" borderId="4" xfId="0" applyNumberFormat="1" applyFont="1" applyBorder="1" applyAlignment="1">
      <alignment horizontal="center" vertical="center" wrapText="1"/>
    </xf>
    <xf numFmtId="0" fontId="8" fillId="5" borderId="0" xfId="0" applyFont="1" applyFill="1" applyAlignment="1">
      <alignment horizontal="center" vertical="center" wrapText="1"/>
    </xf>
    <xf numFmtId="0" fontId="8" fillId="5" borderId="0" xfId="0" applyFont="1" applyFill="1" applyAlignment="1">
      <alignment horizontal="center" vertical="center"/>
    </xf>
    <xf numFmtId="0" fontId="8" fillId="0" borderId="0" xfId="0" applyFont="1" applyAlignment="1">
      <alignment horizontal="center" vertical="center"/>
    </xf>
    <xf numFmtId="0" fontId="8" fillId="0" borderId="0" xfId="0" applyFont="1" applyAlignment="1">
      <alignment horizontal="center" vertical="center" wrapText="1"/>
    </xf>
    <xf numFmtId="0" fontId="0" fillId="0" borderId="0" xfId="0" applyAlignment="1">
      <alignment horizontal="left" vertical="center"/>
    </xf>
    <xf numFmtId="0" fontId="8" fillId="0" borderId="4" xfId="0" applyFont="1" applyBorder="1" applyAlignment="1">
      <alignment horizontal="center" vertical="center"/>
    </xf>
    <xf numFmtId="0" fontId="0" fillId="0" borderId="0" xfId="0" applyNumberFormat="1"/>
    <xf numFmtId="169" fontId="0" fillId="0" borderId="0" xfId="0" applyNumberFormat="1"/>
    <xf numFmtId="0" fontId="0" fillId="0" borderId="0" xfId="0" applyNumberFormat="1" applyAlignment="1">
      <alignment wrapText="1"/>
    </xf>
    <xf numFmtId="0" fontId="0" fillId="0" borderId="0" xfId="0" applyNumberFormat="1" applyAlignment="1">
      <alignment vertical="center" wrapText="1"/>
    </xf>
  </cellXfs>
  <cellStyles count="1">
    <cellStyle name="Normal" xfId="0" builtinId="0"/>
  </cellStyles>
  <dxfs count="4140">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numFmt numFmtId="169" formatCode="\ \ \ &quot;Rp&quot;#,##0.0,,&quot;Jt&quot;"/>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alignment wrapText="1"/>
    </dxf>
    <dxf>
      <alignment wrapText="1"/>
    </dxf>
    <dxf>
      <numFmt numFmtId="164" formatCode="&quot;Rp&quot;#,##0"/>
    </dxf>
    <dxf>
      <alignment vertical="center"/>
    </dxf>
    <dxf>
      <alignment vertical="center"/>
    </dxf>
    <dxf>
      <alignment horizontal="center"/>
    </dxf>
    <dxf>
      <alignment horizontal="center"/>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numFmt numFmtId="169" formatCode="\ \ \ &quot;Rp&quot;#,##0.0,,&quot;Jt&quot;"/>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alignment wrapText="1"/>
    </dxf>
    <dxf>
      <alignment wrapText="1"/>
    </dxf>
    <dxf>
      <numFmt numFmtId="164" formatCode="&quot;Rp&quot;#,##0"/>
    </dxf>
    <dxf>
      <alignment vertical="center"/>
    </dxf>
    <dxf>
      <alignment vertical="center"/>
    </dxf>
    <dxf>
      <alignment horizontal="center"/>
    </dxf>
    <dxf>
      <alignment horizontal="center"/>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numFmt numFmtId="169" formatCode="\ \ \ &quot;Rp&quot;#,##0.0,,&quot;Jt&quot;"/>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alignment wrapText="1"/>
    </dxf>
    <dxf>
      <alignment wrapText="1"/>
    </dxf>
    <dxf>
      <numFmt numFmtId="164" formatCode="&quot;Rp&quot;#,##0"/>
    </dxf>
    <dxf>
      <alignment vertical="center"/>
    </dxf>
    <dxf>
      <alignment vertical="center"/>
    </dxf>
    <dxf>
      <alignment horizontal="center"/>
    </dxf>
    <dxf>
      <alignment horizontal="center"/>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numFmt numFmtId="169" formatCode="\ \ \ &quot;Rp&quot;#,##0.0,,&quot;Jt&quot;"/>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alignment wrapText="1"/>
    </dxf>
    <dxf>
      <alignment wrapText="1"/>
    </dxf>
    <dxf>
      <numFmt numFmtId="164" formatCode="&quot;Rp&quot;#,##0"/>
    </dxf>
    <dxf>
      <alignment vertical="center"/>
    </dxf>
    <dxf>
      <alignment vertical="center"/>
    </dxf>
    <dxf>
      <alignment horizontal="center"/>
    </dxf>
    <dxf>
      <alignment horizontal="center"/>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numFmt numFmtId="169" formatCode="\ \ \ &quot;Rp&quot;#,##0.0,,&quot;Jt&quot;"/>
    </dxf>
    <dxf>
      <alignment wrapText="1"/>
    </dxf>
    <dxf>
      <alignment wrapText="1"/>
    </dxf>
    <dxf>
      <alignment wrapText="1"/>
    </dxf>
    <dxf>
      <alignment wrapText="1"/>
    </dxf>
    <dxf>
      <alignment wrapText="1"/>
    </dxf>
    <dxf>
      <numFmt numFmtId="169" formatCode="\ \ \ &quot;Rp&quot;#,##0.0,,&quot;Jt&quot;"/>
    </dxf>
    <dxf>
      <alignment wrapText="1"/>
    </dxf>
    <dxf>
      <alignment wrapText="1"/>
    </dxf>
    <dxf>
      <numFmt numFmtId="169" formatCode="\ \ \ &quot;Rp&quot;#,##0.0,,&quot;Jt&quot;"/>
    </dxf>
    <dxf>
      <alignment wrapText="1"/>
    </dxf>
    <dxf>
      <alignment wrapText="1"/>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numFmt numFmtId="169" formatCode="\ \ \ &quot;Rp&quot;#,##0.0,,&quot;Jt&quot;"/>
    </dxf>
    <dxf>
      <alignment wrapText="1"/>
    </dxf>
    <dxf>
      <alignment wrapText="1"/>
    </dxf>
    <dxf>
      <alignment wrapText="1"/>
    </dxf>
    <dxf>
      <alignment wrapText="1"/>
    </dxf>
    <dxf>
      <alignment wrapText="1"/>
    </dxf>
    <dxf>
      <numFmt numFmtId="169" formatCode="\ \ \ &quot;Rp&quot;#,##0.0,,&quot;Jt&quot;"/>
    </dxf>
    <dxf>
      <alignment wrapText="1"/>
    </dxf>
    <dxf>
      <alignment wrapText="1"/>
    </dxf>
    <dxf>
      <numFmt numFmtId="169" formatCode="\ \ \ &quot;Rp&quot;#,##0.0,,&quot;Jt&quot;"/>
    </dxf>
    <dxf>
      <alignment wrapText="1"/>
    </dxf>
    <dxf>
      <alignment wrapText="1"/>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numFmt numFmtId="169" formatCode="\ \ \ &quot;Rp&quot;#,##0.0,,&quot;Jt&quot;"/>
    </dxf>
    <dxf>
      <alignment wrapText="1"/>
    </dxf>
    <dxf>
      <alignment wrapText="1"/>
    </dxf>
    <dxf>
      <alignment wrapText="1"/>
    </dxf>
    <dxf>
      <alignment wrapText="1"/>
    </dxf>
    <dxf>
      <alignment wrapText="1"/>
    </dxf>
    <dxf>
      <numFmt numFmtId="169" formatCode="\ \ \ &quot;Rp&quot;#,##0.0,,&quot;Jt&quot;"/>
    </dxf>
    <dxf>
      <alignment wrapText="1"/>
    </dxf>
    <dxf>
      <alignment wrapText="1"/>
    </dxf>
    <dxf>
      <numFmt numFmtId="169" formatCode="\ \ \ &quot;Rp&quot;#,##0.0,,&quot;Jt&quot;"/>
    </dxf>
    <dxf>
      <alignment wrapText="1"/>
    </dxf>
    <dxf>
      <alignment wrapText="1"/>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numFmt numFmtId="169" formatCode="\ \ \ &quot;Rp&quot;#,##0.0,,&quot;Jt&quot;"/>
    </dxf>
    <dxf>
      <alignment wrapText="1"/>
    </dxf>
    <dxf>
      <alignment wrapText="1"/>
    </dxf>
    <dxf>
      <alignment wrapText="1"/>
    </dxf>
    <dxf>
      <alignment wrapText="1"/>
    </dxf>
    <dxf>
      <alignment wrapText="1"/>
    </dxf>
    <dxf>
      <numFmt numFmtId="169" formatCode="\ \ \ &quot;Rp&quot;#,##0.0,,&quot;Jt&quot;"/>
    </dxf>
    <dxf>
      <alignment wrapText="1"/>
    </dxf>
    <dxf>
      <alignment wrapText="1"/>
    </dxf>
    <dxf>
      <numFmt numFmtId="169" formatCode="\ \ \ &quot;Rp&quot;#,##0.0,,&quot;Jt&quot;"/>
    </dxf>
    <dxf>
      <alignment wrapText="1"/>
    </dxf>
    <dxf>
      <alignment wrapText="1"/>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numFmt numFmtId="164" formatCode="&quot;Rp&quot;#,##0"/>
    </dxf>
    <dxf>
      <alignment vertical="center"/>
    </dxf>
    <dxf>
      <alignment vertical="center"/>
    </dxf>
    <dxf>
      <alignment horizontal="center"/>
    </dxf>
    <dxf>
      <alignment horizont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numFmt numFmtId="169" formatCode="\ \ \ &quot;Rp&quot;#,##0.0,,&quot;Jt&quot;"/>
    </dxf>
    <dxf>
      <alignment wrapText="1"/>
    </dxf>
    <dxf>
      <alignment wrapText="1"/>
    </dxf>
    <dxf>
      <alignment wrapText="1"/>
    </dxf>
    <dxf>
      <alignment wrapText="1"/>
    </dxf>
    <dxf>
      <alignment wrapText="1"/>
    </dxf>
    <dxf>
      <numFmt numFmtId="169" formatCode="\ \ \ &quot;Rp&quot;#,##0.0,,&quot;Jt&quot;"/>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numFmt numFmtId="164" formatCode="&quot;Rp&quot;#,##0"/>
    </dxf>
    <dxf>
      <alignment vertical="center"/>
    </dxf>
    <dxf>
      <alignment vertical="center"/>
    </dxf>
    <dxf>
      <alignment horizontal="center"/>
    </dxf>
    <dxf>
      <alignment horizont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numFmt numFmtId="169" formatCode="\ \ \ &quot;Rp&quot;#,##0.0,,&quot;Jt&quot;"/>
    </dxf>
    <dxf>
      <alignment wrapText="1"/>
    </dxf>
    <dxf>
      <alignment wrapText="1"/>
    </dxf>
    <dxf>
      <alignment wrapText="1"/>
    </dxf>
    <dxf>
      <alignment wrapText="1"/>
    </dxf>
    <dxf>
      <alignment wrapText="1"/>
    </dxf>
    <dxf>
      <numFmt numFmtId="169" formatCode="\ \ \ &quot;Rp&quot;#,##0.0,,&quot;Jt&quot;"/>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numFmt numFmtId="164" formatCode="&quot;Rp&quot;#,##0"/>
    </dxf>
    <dxf>
      <alignment vertical="center"/>
    </dxf>
    <dxf>
      <alignment vertical="center"/>
    </dxf>
    <dxf>
      <alignment horizontal="center"/>
    </dxf>
    <dxf>
      <alignment horizont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numFmt numFmtId="169" formatCode="\ \ \ &quot;Rp&quot;#,##0.0,,&quot;Jt&quot;"/>
    </dxf>
    <dxf>
      <alignment wrapText="1"/>
    </dxf>
    <dxf>
      <alignment wrapText="1"/>
    </dxf>
    <dxf>
      <alignment wrapText="1"/>
    </dxf>
    <dxf>
      <alignment wrapText="1"/>
    </dxf>
    <dxf>
      <alignment wrapText="1"/>
    </dxf>
    <dxf>
      <numFmt numFmtId="169" formatCode="\ \ \ &quot;Rp&quot;#,##0.0,,&quot;Jt&quot;"/>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numFmt numFmtId="164" formatCode="&quot;Rp&quot;#,##0"/>
    </dxf>
    <dxf>
      <alignment vertical="center"/>
    </dxf>
    <dxf>
      <alignment vertical="center"/>
    </dxf>
    <dxf>
      <alignment horizontal="center"/>
    </dxf>
    <dxf>
      <alignment horizont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numFmt numFmtId="169" formatCode="\ \ \ &quot;Rp&quot;#,##0.0,,&quot;Jt&quot;"/>
    </dxf>
    <dxf>
      <alignment wrapText="1"/>
    </dxf>
    <dxf>
      <alignment wrapText="1"/>
    </dxf>
    <dxf>
      <alignment wrapText="1"/>
    </dxf>
    <dxf>
      <alignment wrapText="1"/>
    </dxf>
    <dxf>
      <alignment wrapText="1"/>
    </dxf>
    <dxf>
      <numFmt numFmtId="169" formatCode="\ \ \ &quot;Rp&quot;#,##0.0,,&quot;Jt&quot;"/>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numFmt numFmtId="169" formatCode="\ \ \ &quot;Rp&quot;#,##0.0,,&quot;Jt&quot;"/>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alignment wrapText="1"/>
    </dxf>
    <dxf>
      <alignment wrapText="1"/>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numFmt numFmtId="169" formatCode="\ \ \ &quot;Rp&quot;#,##0.0,,&quot;Jt&quot;"/>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alignment wrapText="1"/>
    </dxf>
    <dxf>
      <alignment wrapText="1"/>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numFmt numFmtId="169" formatCode="\ \ \ &quot;Rp&quot;#,##0.0,,&quot;Jt&quot;"/>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alignment wrapText="1"/>
    </dxf>
    <dxf>
      <alignment wrapText="1"/>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numFmt numFmtId="169" formatCode="\ \ \ &quot;Rp&quot;#,##0.0,,&quot;Jt&quot;"/>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alignment wrapText="1"/>
    </dxf>
    <dxf>
      <alignment wrapText="1"/>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numFmt numFmtId="169" formatCode="\ \ \ &quot;Rp&quot;#,##0.0,,&quot;Jt&quot;"/>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alignment wrapText="1"/>
    </dxf>
    <dxf>
      <alignment wrapText="1"/>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numFmt numFmtId="169" formatCode="\ \ \ &quot;Rp&quot;#,##0.0,,&quot;Jt&quot;"/>
    </dxf>
    <dxf>
      <alignment wrapText="1"/>
    </dxf>
    <dxf>
      <alignment wrapText="1"/>
    </dxf>
    <dxf>
      <alignment wrapText="1"/>
    </dxf>
    <dxf>
      <alignment wrapText="1"/>
    </dxf>
    <dxf>
      <alignment wrapText="1"/>
    </dxf>
    <dxf>
      <alignment wrapText="1"/>
    </dxf>
    <dxf>
      <numFmt numFmtId="167" formatCode="&quot;Rp&quot;\ #,##0"/>
    </dxf>
    <dxf>
      <alignment vertical="center"/>
    </dxf>
    <dxf>
      <alignment vertical="center"/>
    </dxf>
    <dxf>
      <alignment horizontal="center"/>
    </dxf>
    <dxf>
      <alignment horizontal="center"/>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numFmt numFmtId="169" formatCode="\ \ \ &quot;Rp&quot;#,##0.0,,&quot;Jt&quot;"/>
    </dxf>
    <dxf>
      <alignment wrapText="1"/>
    </dxf>
    <dxf>
      <alignment wrapText="1"/>
    </dxf>
    <dxf>
      <alignment wrapText="1"/>
    </dxf>
    <dxf>
      <alignment wrapText="1"/>
    </dxf>
    <dxf>
      <alignment wrapText="1"/>
    </dxf>
    <dxf>
      <alignment wrapText="1"/>
    </dxf>
    <dxf>
      <numFmt numFmtId="167" formatCode="&quot;Rp&quot;\ #,##0"/>
    </dxf>
    <dxf>
      <alignment vertical="center"/>
    </dxf>
    <dxf>
      <alignment vertical="center"/>
    </dxf>
    <dxf>
      <alignment horizontal="center"/>
    </dxf>
    <dxf>
      <alignment horizontal="center"/>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numFmt numFmtId="169" formatCode="\ \ \ &quot;Rp&quot;#,##0.0,,&quot;Jt&quot;"/>
    </dxf>
    <dxf>
      <alignment wrapText="1"/>
    </dxf>
    <dxf>
      <alignment wrapText="1"/>
    </dxf>
    <dxf>
      <alignment wrapText="1"/>
    </dxf>
    <dxf>
      <alignment wrapText="1"/>
    </dxf>
    <dxf>
      <alignment wrapText="1"/>
    </dxf>
    <dxf>
      <alignment wrapText="1"/>
    </dxf>
    <dxf>
      <numFmt numFmtId="167" formatCode="&quot;Rp&quot;\ #,##0"/>
    </dxf>
    <dxf>
      <alignment vertical="center"/>
    </dxf>
    <dxf>
      <alignment vertical="center"/>
    </dxf>
    <dxf>
      <alignment horizontal="center"/>
    </dxf>
    <dxf>
      <alignment horizontal="center"/>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numFmt numFmtId="169" formatCode="\ \ \ &quot;Rp&quot;#,##0.0,,&quot;Jt&quot;"/>
    </dxf>
    <dxf>
      <alignment wrapText="1"/>
    </dxf>
    <dxf>
      <alignment wrapText="1"/>
    </dxf>
    <dxf>
      <alignment wrapText="1"/>
    </dxf>
    <dxf>
      <alignment wrapText="1"/>
    </dxf>
    <dxf>
      <alignment wrapText="1"/>
    </dxf>
    <dxf>
      <alignment wrapText="1"/>
    </dxf>
    <dxf>
      <numFmt numFmtId="167" formatCode="&quot;Rp&quot;\ #,##0"/>
    </dxf>
    <dxf>
      <alignment vertical="center"/>
    </dxf>
    <dxf>
      <alignment vertical="center"/>
    </dxf>
    <dxf>
      <alignment horizontal="center"/>
    </dxf>
    <dxf>
      <alignment horizontal="center"/>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numFmt numFmtId="169" formatCode="\ \ \ &quot;Rp&quot;#,##0.0,,&quot;Jt&quot;"/>
    </dxf>
    <dxf>
      <alignment wrapText="1"/>
    </dxf>
    <dxf>
      <alignment wrapText="1"/>
    </dxf>
    <dxf>
      <alignment wrapText="1"/>
    </dxf>
    <dxf>
      <alignment wrapText="1"/>
    </dxf>
    <dxf>
      <alignment wrapText="1"/>
    </dxf>
    <dxf>
      <alignment wrapText="1"/>
    </dxf>
    <dxf>
      <numFmt numFmtId="167" formatCode="&quot;Rp&quot;\ #,##0"/>
    </dxf>
    <dxf>
      <alignment vertical="center"/>
    </dxf>
    <dxf>
      <alignment vertical="center"/>
    </dxf>
    <dxf>
      <alignment horizontal="center"/>
    </dxf>
    <dxf>
      <alignment horizontal="center"/>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numFmt numFmtId="169" formatCode="\ \ \ &quot;Rp&quot;#,##0.0,,&quot;Jt&quot;"/>
    </dxf>
    <dxf>
      <alignment wrapText="1"/>
    </dxf>
    <dxf>
      <alignment wrapText="1"/>
    </dxf>
    <dxf>
      <alignment wrapText="1"/>
    </dxf>
    <dxf>
      <alignment wrapText="1"/>
    </dxf>
    <dxf>
      <alignment wrapText="1"/>
    </dxf>
    <dxf>
      <alignment wrapText="1"/>
    </dxf>
    <dxf>
      <numFmt numFmtId="167" formatCode="&quot;Rp&quot;\ #,##0"/>
    </dxf>
    <dxf>
      <alignment vertical="center"/>
    </dxf>
    <dxf>
      <alignment vertical="center"/>
    </dxf>
    <dxf>
      <alignment horizontal="center"/>
    </dxf>
    <dxf>
      <alignment horizontal="center"/>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numFmt numFmtId="169" formatCode="\ \ \ &quot;Rp&quot;#,##0.0,,&quot;Jt&quot;"/>
    </dxf>
    <dxf>
      <alignment wrapText="1"/>
    </dxf>
    <dxf>
      <alignment wrapText="1"/>
    </dxf>
    <dxf>
      <alignment wrapText="1"/>
    </dxf>
    <dxf>
      <alignment wrapText="1"/>
    </dxf>
    <dxf>
      <alignment wrapText="1"/>
    </dxf>
    <dxf>
      <alignment wrapText="1"/>
    </dxf>
    <dxf>
      <numFmt numFmtId="167" formatCode="&quot;Rp&quot;\ #,##0"/>
    </dxf>
    <dxf>
      <alignment vertical="center"/>
    </dxf>
    <dxf>
      <alignment vertical="center"/>
    </dxf>
    <dxf>
      <alignment horizontal="center"/>
    </dxf>
    <dxf>
      <alignment horizontal="center"/>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numFmt numFmtId="169" formatCode="\ \ \ &quot;Rp&quot;#,##0.0,,&quot;Jt&quot;"/>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alignment wrapText="1"/>
    </dxf>
    <dxf>
      <alignment wrapText="1"/>
    </dxf>
    <dxf>
      <numFmt numFmtId="164" formatCode="&quot;Rp&quot;#,##0"/>
    </dxf>
    <dxf>
      <alignment vertical="center"/>
    </dxf>
    <dxf>
      <alignment vertical="center"/>
    </dxf>
    <dxf>
      <alignment horizontal="center"/>
    </dxf>
    <dxf>
      <alignment horizontal="center"/>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numFmt numFmtId="169" formatCode="\ \ \ &quot;Rp&quot;#,##0.0,,&quot;Jt&quot;"/>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alignment wrapText="1"/>
    </dxf>
    <dxf>
      <alignment wrapText="1"/>
    </dxf>
    <dxf>
      <numFmt numFmtId="164" formatCode="&quot;Rp&quot;#,##0"/>
    </dxf>
    <dxf>
      <alignment vertical="center"/>
    </dxf>
    <dxf>
      <alignment vertical="center"/>
    </dxf>
    <dxf>
      <alignment horizontal="center"/>
    </dxf>
    <dxf>
      <alignment horizontal="center"/>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numFmt numFmtId="169" formatCode="\ \ \ &quot;Rp&quot;#,##0.0,,&quot;Jt&quot;"/>
    </dxf>
    <dxf>
      <alignment wrapText="1"/>
    </dxf>
    <dxf>
      <alignment wrapText="1"/>
    </dxf>
    <dxf>
      <alignment wrapText="1"/>
    </dxf>
    <dxf>
      <alignment wrapText="1"/>
    </dxf>
    <dxf>
      <alignment wrapText="1"/>
    </dxf>
    <dxf>
      <numFmt numFmtId="169" formatCode="\ \ \ &quot;Rp&quot;#,##0.0,,&quot;Jt&quot;"/>
    </dxf>
    <dxf>
      <alignment wrapText="1"/>
    </dxf>
    <dxf>
      <alignment wrapText="1"/>
    </dxf>
    <dxf>
      <numFmt numFmtId="169" formatCode="\ \ \ &quot;Rp&quot;#,##0.0,,&quot;Jt&quot;"/>
    </dxf>
    <dxf>
      <alignment wrapText="1"/>
    </dxf>
    <dxf>
      <alignment wrapText="1"/>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numFmt numFmtId="169" formatCode="\ \ \ &quot;Rp&quot;#,##0.0,,&quot;Jt&quot;"/>
    </dxf>
    <dxf>
      <alignment wrapText="1"/>
    </dxf>
    <dxf>
      <alignment wrapText="1"/>
    </dxf>
    <dxf>
      <alignment wrapText="1"/>
    </dxf>
    <dxf>
      <alignment wrapText="1"/>
    </dxf>
    <dxf>
      <alignment wrapText="1"/>
    </dxf>
    <dxf>
      <numFmt numFmtId="169" formatCode="\ \ \ &quot;Rp&quot;#,##0.0,,&quot;Jt&quot;"/>
    </dxf>
    <dxf>
      <alignment wrapText="1"/>
    </dxf>
    <dxf>
      <alignment wrapText="1"/>
    </dxf>
    <dxf>
      <numFmt numFmtId="169" formatCode="\ \ \ &quot;Rp&quot;#,##0.0,,&quot;Jt&quot;"/>
    </dxf>
    <dxf>
      <alignment wrapText="1"/>
    </dxf>
    <dxf>
      <alignment wrapText="1"/>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numFmt numFmtId="169" formatCode="\ \ \ &quot;Rp&quot;#,##0.0,,&quot;Jt&quot;"/>
    </dxf>
    <dxf>
      <alignment wrapText="1"/>
    </dxf>
    <dxf>
      <alignment wrapText="1"/>
    </dxf>
    <dxf>
      <alignment wrapText="1"/>
    </dxf>
    <dxf>
      <alignment wrapText="1"/>
    </dxf>
    <dxf>
      <alignment wrapText="1"/>
    </dxf>
    <dxf>
      <numFmt numFmtId="169" formatCode="\ \ \ &quot;Rp&quot;#,##0.0,,&quot;Jt&quot;"/>
    </dxf>
    <dxf>
      <alignment wrapText="1"/>
    </dxf>
    <dxf>
      <alignment wrapText="1"/>
    </dxf>
    <dxf>
      <numFmt numFmtId="169" formatCode="\ \ \ &quot;Rp&quot;#,##0.0,,&quot;Jt&quot;"/>
    </dxf>
    <dxf>
      <alignment wrapText="1"/>
    </dxf>
    <dxf>
      <alignment wrapText="1"/>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numFmt numFmtId="164" formatCode="&quot;Rp&quot;#,##0"/>
    </dxf>
    <dxf>
      <alignment vertical="center"/>
    </dxf>
    <dxf>
      <alignment vertical="center"/>
    </dxf>
    <dxf>
      <alignment horizontal="center"/>
    </dxf>
    <dxf>
      <alignment horizont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numFmt numFmtId="169" formatCode="\ \ \ &quot;Rp&quot;#,##0.0,,&quot;Jt&quot;"/>
    </dxf>
    <dxf>
      <alignment wrapText="1"/>
    </dxf>
    <dxf>
      <alignment wrapText="1"/>
    </dxf>
    <dxf>
      <alignment wrapText="1"/>
    </dxf>
    <dxf>
      <alignment wrapText="1"/>
    </dxf>
    <dxf>
      <alignment wrapText="1"/>
    </dxf>
    <dxf>
      <numFmt numFmtId="169" formatCode="\ \ \ &quot;Rp&quot;#,##0.0,,&quot;Jt&quot;"/>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numFmt numFmtId="164" formatCode="&quot;Rp&quot;#,##0"/>
    </dxf>
    <dxf>
      <alignment vertical="center"/>
    </dxf>
    <dxf>
      <alignment vertical="center"/>
    </dxf>
    <dxf>
      <alignment horizontal="center"/>
    </dxf>
    <dxf>
      <alignment horizont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numFmt numFmtId="169" formatCode="\ \ \ &quot;Rp&quot;#,##0.0,,&quot;Jt&quot;"/>
    </dxf>
    <dxf>
      <alignment wrapText="1"/>
    </dxf>
    <dxf>
      <alignment wrapText="1"/>
    </dxf>
    <dxf>
      <alignment wrapText="1"/>
    </dxf>
    <dxf>
      <alignment wrapText="1"/>
    </dxf>
    <dxf>
      <alignment wrapText="1"/>
    </dxf>
    <dxf>
      <numFmt numFmtId="169" formatCode="\ \ \ &quot;Rp&quot;#,##0.0,,&quot;Jt&quot;"/>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numFmt numFmtId="169" formatCode="\ \ \ &quot;Rp&quot;#,##0.0,,&quot;Jt&quot;"/>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alignment wrapText="1"/>
    </dxf>
    <dxf>
      <alignment wrapText="1"/>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numFmt numFmtId="169" formatCode="\ \ \ &quot;Rp&quot;#,##0.0,,&quot;Jt&quot;"/>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alignment wrapText="1"/>
    </dxf>
    <dxf>
      <alignment wrapText="1"/>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numFmt numFmtId="169" formatCode="\ \ \ &quot;Rp&quot;#,##0.0,,&quot;Jt&quot;"/>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alignment wrapText="1"/>
    </dxf>
    <dxf>
      <alignment wrapText="1"/>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numFmt numFmtId="169" formatCode="\ \ \ &quot;Rp&quot;#,##0.0,,&quot;Jt&quot;"/>
    </dxf>
    <dxf>
      <alignment wrapText="1"/>
    </dxf>
    <dxf>
      <alignment wrapText="1"/>
    </dxf>
    <dxf>
      <alignment wrapText="1"/>
    </dxf>
    <dxf>
      <alignment wrapText="1"/>
    </dxf>
    <dxf>
      <alignment wrapText="1"/>
    </dxf>
    <dxf>
      <alignment wrapText="1"/>
    </dxf>
    <dxf>
      <numFmt numFmtId="167" formatCode="&quot;Rp&quot;\ #,##0"/>
    </dxf>
    <dxf>
      <alignment vertical="center"/>
    </dxf>
    <dxf>
      <alignment vertical="center"/>
    </dxf>
    <dxf>
      <alignment horizontal="center"/>
    </dxf>
    <dxf>
      <alignment horizontal="center"/>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numFmt numFmtId="169" formatCode="\ \ \ &quot;Rp&quot;#,##0.0,,&quot;Jt&quot;"/>
    </dxf>
    <dxf>
      <alignment wrapText="1"/>
    </dxf>
    <dxf>
      <alignment wrapText="1"/>
    </dxf>
    <dxf>
      <alignment wrapText="1"/>
    </dxf>
    <dxf>
      <alignment wrapText="1"/>
    </dxf>
    <dxf>
      <alignment wrapText="1"/>
    </dxf>
    <dxf>
      <alignment wrapText="1"/>
    </dxf>
    <dxf>
      <numFmt numFmtId="167" formatCode="&quot;Rp&quot;\ #,##0"/>
    </dxf>
    <dxf>
      <alignment vertical="center"/>
    </dxf>
    <dxf>
      <alignment vertical="center"/>
    </dxf>
    <dxf>
      <alignment horizontal="center"/>
    </dxf>
    <dxf>
      <alignment horizontal="center"/>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numFmt numFmtId="169" formatCode="\ \ \ &quot;Rp&quot;#,##0.0,,&quot;Jt&quot;"/>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alignment wrapText="1"/>
    </dxf>
    <dxf>
      <alignment wrapText="1"/>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numFmt numFmtId="169" formatCode="\ \ \ &quot;Rp&quot;#,##0.0,,&quot;Jt&quot;"/>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numFmt numFmtId="169" formatCode="\ \ \ &quot;Rp&quot;#,##0.0,,&quot;Jt&quot;"/>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alignment wrapText="1"/>
    </dxf>
    <dxf>
      <alignment wrapText="1"/>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numFmt numFmtId="169" formatCode="\ \ \ &quot;Rp&quot;#,##0.0,,&quot;Jt&quot;"/>
    </dxf>
    <dxf>
      <alignment wrapText="1"/>
    </dxf>
    <dxf>
      <alignment wrapText="1"/>
    </dxf>
    <dxf>
      <alignment wrapText="1"/>
    </dxf>
    <dxf>
      <alignment wrapText="1"/>
    </dxf>
    <dxf>
      <alignment wrapText="1"/>
    </dxf>
    <dxf>
      <alignment wrapText="1"/>
    </dxf>
    <dxf>
      <numFmt numFmtId="167" formatCode="&quot;Rp&quot;\ #,##0"/>
    </dxf>
    <dxf>
      <alignment vertical="center"/>
    </dxf>
    <dxf>
      <alignment vertical="center"/>
    </dxf>
    <dxf>
      <alignment horizontal="center"/>
    </dxf>
    <dxf>
      <alignment horizontal="center"/>
    </dxf>
    <dxf>
      <font>
        <b/>
      </font>
    </dxf>
    <dxf>
      <font>
        <b/>
      </font>
    </dxf>
    <dxf>
      <font>
        <b/>
      </font>
    </dxf>
    <dxf>
      <font>
        <sz val="16"/>
      </font>
    </dxf>
    <dxf>
      <font>
        <sz val="16"/>
      </font>
    </dxf>
    <dxf>
      <font>
        <sz val="16"/>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name val="Times New Roman"/>
        <family val="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16"/>
      </font>
    </dxf>
    <dxf>
      <font>
        <sz val="16"/>
      </font>
    </dxf>
    <dxf>
      <font>
        <name val="Times New Roman"/>
        <family val="1"/>
      </font>
    </dxf>
    <dxf>
      <font>
        <sz val="20"/>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sz val="24"/>
      </font>
    </dxf>
    <dxf>
      <font>
        <b/>
      </font>
    </dxf>
    <dxf>
      <font>
        <sz val="16"/>
      </font>
    </dxf>
    <dxf>
      <font>
        <b/>
      </font>
    </dxf>
    <dxf>
      <font>
        <name val="Times New Roman"/>
        <family val="1"/>
      </font>
    </dxf>
    <dxf>
      <alignment vertical="center"/>
    </dxf>
    <dxf>
      <alignment horizontal="center"/>
    </dxf>
    <dxf>
      <font>
        <sz val="18"/>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theme="4" tint="-0.499984740745262"/>
      </font>
    </dxf>
    <dxf>
      <font>
        <color theme="4" tint="-0.499984740745262"/>
      </font>
    </dxf>
    <dxf>
      <font>
        <color theme="4" tint="-0.499984740745262"/>
      </font>
    </dxf>
    <dxf>
      <font>
        <b/>
      </font>
    </dxf>
    <dxf>
      <font>
        <b/>
      </font>
    </dxf>
    <dxf>
      <font>
        <b/>
      </font>
    </dxf>
    <dxf>
      <font>
        <sz val="22"/>
      </font>
    </dxf>
    <dxf>
      <font>
        <sz val="24"/>
      </font>
    </dxf>
    <dxf>
      <alignment vertical="top"/>
    </dxf>
    <dxf>
      <alignment horizontal="left"/>
    </dxf>
    <dxf>
      <font>
        <sz val="16"/>
      </font>
    </dxf>
    <dxf>
      <font>
        <name val="Times New Roman"/>
        <family val="1"/>
      </font>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numFmt numFmtId="169" formatCode="\ \ \ &quot;Rp&quot;#,##0.0,,&quot;Jt&quot;"/>
    </dxf>
    <dxf>
      <numFmt numFmtId="164" formatCode="&quot;Rp&quot;#,##0"/>
    </dxf>
    <dxf>
      <numFmt numFmtId="164" formatCode="&quot;Rp&quot;#,##0"/>
    </dxf>
    <dxf>
      <numFmt numFmtId="164" formatCode="&quot;Rp&quot;#,##0"/>
    </dxf>
    <dxf>
      <alignment wrapText="1"/>
    </dxf>
    <dxf>
      <alignment wrapText="1"/>
    </dxf>
    <dxf>
      <alignment wrapText="1"/>
    </dxf>
    <dxf>
      <alignment wrapText="1"/>
    </dxf>
    <dxf>
      <numFmt numFmtId="169" formatCode="\ \ \ &quot;Rp&quot;#,##0.0,,&quot;Jt&quot;"/>
    </dxf>
    <dxf>
      <alignment wrapText="1"/>
    </dxf>
    <dxf>
      <alignment wrapText="1"/>
    </dxf>
    <dxf>
      <alignment wrapText="1"/>
    </dxf>
    <dxf>
      <alignment wrapText="1"/>
    </dxf>
    <dxf>
      <alignment wrapText="1"/>
    </dxf>
    <dxf>
      <alignment wrapText="1"/>
    </dxf>
    <dxf>
      <numFmt numFmtId="167" formatCode="&quot;Rp&quot;\ #,##0"/>
    </dxf>
    <dxf>
      <alignment vertical="center"/>
    </dxf>
    <dxf>
      <alignment vertical="center"/>
    </dxf>
    <dxf>
      <alignment horizontal="center"/>
    </dxf>
    <dxf>
      <alignment horizontal="center"/>
    </dxf>
    <dxf>
      <numFmt numFmtId="169" formatCode="\ \ \ &quot;Rp&quot;#,##0.0,,&quot;Jt&quot;"/>
    </dxf>
    <dxf>
      <font>
        <color rgb="FF9C0006"/>
      </font>
      <fill>
        <patternFill>
          <bgColor rgb="FFFFC7CE"/>
        </patternFill>
      </fill>
    </dxf>
    <dxf>
      <font>
        <name val="Times New Roman"/>
        <family val="1"/>
      </font>
    </dxf>
    <dxf>
      <font>
        <b/>
      </font>
    </dxf>
    <dxf>
      <font>
        <sz val="16"/>
      </font>
    </dxf>
    <dxf>
      <font>
        <b/>
      </font>
    </dxf>
    <dxf>
      <font>
        <sz val="24"/>
      </font>
    </dxf>
    <dxf>
      <font>
        <color theme="4" tint="-0.499984740745262"/>
      </font>
    </dxf>
    <dxf>
      <font>
        <color theme="4" tint="-0.499984740745262"/>
      </font>
    </dxf>
    <dxf>
      <font>
        <color theme="4" tint="-0.499984740745262"/>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name val="Times New Roman"/>
        <family val="1"/>
      </font>
    </dxf>
    <dxf>
      <font>
        <sz val="16"/>
      </font>
    </dxf>
    <dxf>
      <alignment horizontal="left"/>
    </dxf>
    <dxf>
      <alignment vertical="top"/>
    </dxf>
    <dxf>
      <font>
        <sz val="24"/>
      </font>
    </dxf>
    <dxf>
      <font>
        <sz val="22"/>
      </font>
    </dxf>
    <dxf>
      <font>
        <b/>
      </font>
    </dxf>
    <dxf>
      <font>
        <b/>
      </font>
    </dxf>
    <dxf>
      <font>
        <b/>
      </font>
    </dxf>
    <dxf>
      <font>
        <color theme="4" tint="-0.499984740745262"/>
      </font>
    </dxf>
    <dxf>
      <font>
        <color theme="4" tint="-0.499984740745262"/>
      </font>
    </dxf>
    <dxf>
      <font>
        <color theme="4" tint="-0.499984740745262"/>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sz val="18"/>
      </font>
    </dxf>
    <dxf>
      <alignment horizontal="center"/>
    </dxf>
    <dxf>
      <alignment vertical="center"/>
    </dxf>
    <dxf>
      <font>
        <name val="Times New Roman"/>
        <family val="1"/>
      </font>
    </dxf>
    <dxf>
      <font>
        <sz val="24"/>
      </font>
    </dxf>
    <dxf>
      <font>
        <color theme="4" tint="-0.499984740745262"/>
      </font>
    </dxf>
    <dxf>
      <font>
        <color theme="4" tint="-0.499984740745262"/>
      </font>
    </dxf>
    <dxf>
      <font>
        <color theme="4" tint="-0.499984740745262"/>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sz val="16"/>
      </font>
    </dxf>
    <dxf>
      <font>
        <sz val="16"/>
      </font>
    </dxf>
    <dxf>
      <font>
        <sz val="16"/>
      </font>
    </dxf>
    <dxf>
      <font>
        <b/>
      </font>
    </dxf>
    <dxf>
      <font>
        <b/>
      </font>
    </dxf>
    <dxf>
      <font>
        <b/>
      </font>
    </dxf>
    <dxf>
      <font>
        <sz val="20"/>
      </font>
    </dxf>
    <dxf>
      <font>
        <name val="Times New Roman"/>
        <family val="1"/>
      </font>
    </dxf>
    <dxf>
      <font>
        <sz val="16"/>
      </font>
    </dxf>
    <dxf>
      <font>
        <sz val="16"/>
      </font>
    </dxf>
    <dxf>
      <font>
        <b/>
      </font>
    </dxf>
    <dxf>
      <font>
        <b/>
      </font>
    </dxf>
    <dxf>
      <font>
        <b/>
      </font>
    </dxf>
    <dxf>
      <font>
        <color theme="4" tint="-0.499984740745262"/>
      </font>
    </dxf>
    <dxf>
      <font>
        <color theme="4" tint="-0.499984740745262"/>
      </font>
    </dxf>
    <dxf>
      <font>
        <color theme="4" tint="-0.499984740745262"/>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numFmt numFmtId="169" formatCode="\ \ \ &quot;Rp&quot;#,##0.0,,&quot;Jt&quot;"/>
    </dxf>
    <dxf>
      <alignment wrapText="1"/>
    </dxf>
    <dxf>
      <alignment wrapText="1"/>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numFmt numFmtId="164" formatCode="&quot;Rp&quot;#,##0"/>
    </dxf>
    <dxf>
      <numFmt numFmtId="164" formatCode="&quot;Rp&quot;#,##0"/>
    </dxf>
    <dxf>
      <alignment wrapText="1"/>
    </dxf>
    <dxf>
      <alignment wrapText="1"/>
    </dxf>
    <dxf>
      <alignment wrapText="1"/>
    </dxf>
    <dxf>
      <alignment wrapText="1"/>
    </dxf>
    <dxf>
      <alignment wrapText="1"/>
    </dxf>
    <dxf>
      <numFmt numFmtId="169" formatCode="\ \ \ &quot;Rp&quot;#,##0.0,,&quot;Jt&quot;"/>
    </dxf>
    <dxf>
      <alignment wrapText="1"/>
    </dxf>
    <dxf>
      <alignment wrapText="1"/>
    </dxf>
    <dxf>
      <alignment horizontal="center"/>
    </dxf>
    <dxf>
      <alignment horizontal="center"/>
    </dxf>
    <dxf>
      <alignment vertical="center"/>
    </dxf>
    <dxf>
      <alignment vertical="center"/>
    </dxf>
    <dxf>
      <numFmt numFmtId="167" formatCode="&quot;Rp&quot;\ #,##0"/>
    </dxf>
    <dxf>
      <alignment wrapText="1"/>
    </dxf>
    <dxf>
      <alignment wrapText="1"/>
    </dxf>
    <dxf>
      <alignment wrapText="1"/>
    </dxf>
    <dxf>
      <alignment wrapText="1"/>
    </dxf>
    <dxf>
      <alignment wrapText="1"/>
    </dxf>
    <dxf>
      <alignment wrapText="1"/>
    </dxf>
    <dxf>
      <alignment horizontal="center"/>
    </dxf>
    <dxf>
      <alignment horizontal="center"/>
    </dxf>
    <dxf>
      <alignment vertical="center"/>
    </dxf>
    <dxf>
      <alignment vertical="center"/>
    </dxf>
    <dxf>
      <numFmt numFmtId="164" formatCode="&quot;Rp&quot;#,##0"/>
    </dxf>
    <dxf>
      <alignment wrapText="1"/>
    </dxf>
    <dxf>
      <alignment wrapText="1"/>
    </dxf>
    <dxf>
      <alignment horizontal="center"/>
    </dxf>
    <dxf>
      <alignment horizontal="center"/>
    </dxf>
    <dxf>
      <alignment vertical="center"/>
    </dxf>
    <dxf>
      <alignment vertical="center"/>
    </dxf>
    <dxf>
      <alignment horizontal="center"/>
    </dxf>
    <dxf>
      <alignment horizontal="center"/>
    </dxf>
    <dxf>
      <alignment vertical="center"/>
    </dxf>
    <dxf>
      <alignment horizontal="left"/>
    </dxf>
    <dxf>
      <alignment wrapText="1"/>
    </dxf>
    <dxf>
      <alignment wrapText="1"/>
    </dxf>
    <dxf>
      <numFmt numFmtId="170" formatCode="0.0%"/>
    </dxf>
    <dxf>
      <numFmt numFmtId="169" formatCode="\ \ \ &quot;Rp&quot;#,##0.0,,&quot;Jt&quot;"/>
    </dxf>
    <dxf>
      <numFmt numFmtId="169" formatCode="\ \ \ &quot;Rp&quot;#,##0.0,,&quot;Jt&quot;"/>
    </dxf>
    <dxf>
      <alignment wrapText="1"/>
    </dxf>
    <dxf>
      <alignment wrapText="1"/>
    </dxf>
    <dxf>
      <alignment wrapText="1"/>
    </dxf>
    <dxf>
      <numFmt numFmtId="164" formatCode="&quot;Rp&quot;#,##0"/>
    </dxf>
    <dxf>
      <numFmt numFmtId="164" formatCode="&quot;Rp&quot;#,##0"/>
    </dxf>
    <dxf>
      <numFmt numFmtId="164" formatCode="&quot;Rp&quot;#,##0"/>
    </dxf>
    <dxf>
      <numFmt numFmtId="169" formatCode="\ \ \ &quot;Rp&quot;#,##0.0,,&quot;Jt&quot;"/>
    </dxf>
    <dxf>
      <alignment wrapText="1"/>
    </dxf>
    <dxf>
      <alignment wrapText="1"/>
    </dxf>
    <dxf>
      <alignment wrapText="1"/>
    </dxf>
    <dxf>
      <alignment wrapText="1"/>
    </dxf>
    <dxf>
      <alignment wrapText="1"/>
    </dxf>
    <dxf>
      <alignment wrapText="1"/>
    </dxf>
    <dxf>
      <alignment wrapText="1"/>
    </dxf>
    <dxf>
      <alignment wrapText="1"/>
    </dxf>
    <dxf>
      <alignment wrapText="1"/>
    </dxf>
    <dxf>
      <numFmt numFmtId="169" formatCode="\ \ \ &quot;Rp&quot;#,##0.0,,&quot;Jt&quot;"/>
    </dxf>
    <dxf>
      <numFmt numFmtId="169" formatCode="\ \ \ &quot;Rp&quot;#,##0.0,,&quot;Jt&quot;"/>
    </dxf>
    <dxf>
      <alignment wrapText="1"/>
    </dxf>
    <dxf>
      <alignment wrapText="1"/>
    </dxf>
    <dxf>
      <alignment wrapText="1"/>
    </dxf>
    <dxf>
      <alignment wrapText="1"/>
    </dxf>
    <dxf>
      <numFmt numFmtId="169" formatCode="\ \ \ &quot;Rp&quot;#,##0.0,,&quot;Jt&quot;"/>
    </dxf>
    <dxf>
      <alignment wrapText="1"/>
    </dxf>
    <dxf>
      <alignment wrapText="1"/>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mruColors>
      <color rgb="FF003300"/>
      <color rgb="FF333333"/>
      <color rgb="FF008000"/>
      <color rgb="FF035D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Pola Musiman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ANALISIS!$J$168</c:f>
              <c:strCache>
                <c:ptCount val="1"/>
                <c:pt idx="0">
                  <c:v>Elektronik</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ANALISIS!$I$169:$I$180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ANALISIS!$J$169:$J$180</c:f>
              <c:numCache>
                <c:formatCode>"Rp"#,##0</c:formatCode>
                <c:ptCount val="12"/>
                <c:pt idx="0">
                  <c:v>10420000</c:v>
                </c:pt>
                <c:pt idx="1">
                  <c:v>11582000</c:v>
                </c:pt>
                <c:pt idx="2">
                  <c:v>2115000</c:v>
                </c:pt>
                <c:pt idx="3">
                  <c:v>2026000</c:v>
                </c:pt>
                <c:pt idx="4">
                  <c:v>1330000</c:v>
                </c:pt>
                <c:pt idx="5">
                  <c:v>0</c:v>
                </c:pt>
                <c:pt idx="6">
                  <c:v>1690000</c:v>
                </c:pt>
                <c:pt idx="7">
                  <c:v>11280000</c:v>
                </c:pt>
                <c:pt idx="8">
                  <c:v>1590000</c:v>
                </c:pt>
                <c:pt idx="9">
                  <c:v>14039000</c:v>
                </c:pt>
                <c:pt idx="10">
                  <c:v>15878000</c:v>
                </c:pt>
                <c:pt idx="11">
                  <c:v>5221000</c:v>
                </c:pt>
              </c:numCache>
            </c:numRef>
          </c:val>
          <c:smooth val="0"/>
          <c:extLst>
            <c:ext xmlns:c16="http://schemas.microsoft.com/office/drawing/2014/chart" uri="{C3380CC4-5D6E-409C-BE32-E72D297353CC}">
              <c16:uniqueId val="{00000000-0D9A-482C-B2AE-0B80A3B4EC0E}"/>
            </c:ext>
          </c:extLst>
        </c:ser>
        <c:ser>
          <c:idx val="1"/>
          <c:order val="1"/>
          <c:tx>
            <c:strRef>
              <c:f>ANALISIS!$K$168</c:f>
              <c:strCache>
                <c:ptCount val="1"/>
                <c:pt idx="0">
                  <c:v>Fashion</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ANALISIS!$I$169:$I$180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ANALISIS!$K$169:$K$180</c:f>
              <c:numCache>
                <c:formatCode>"Rp"#,##0</c:formatCode>
                <c:ptCount val="12"/>
                <c:pt idx="0">
                  <c:v>4612000</c:v>
                </c:pt>
                <c:pt idx="1">
                  <c:v>6853000</c:v>
                </c:pt>
                <c:pt idx="2">
                  <c:v>11119000</c:v>
                </c:pt>
                <c:pt idx="3">
                  <c:v>2975000</c:v>
                </c:pt>
                <c:pt idx="4">
                  <c:v>4229000</c:v>
                </c:pt>
                <c:pt idx="5">
                  <c:v>7873000</c:v>
                </c:pt>
                <c:pt idx="6">
                  <c:v>3930000</c:v>
                </c:pt>
                <c:pt idx="7">
                  <c:v>8904000</c:v>
                </c:pt>
                <c:pt idx="8">
                  <c:v>8047000</c:v>
                </c:pt>
                <c:pt idx="9">
                  <c:v>8780000</c:v>
                </c:pt>
                <c:pt idx="10">
                  <c:v>4402000</c:v>
                </c:pt>
                <c:pt idx="11">
                  <c:v>9664000</c:v>
                </c:pt>
              </c:numCache>
            </c:numRef>
          </c:val>
          <c:smooth val="0"/>
          <c:extLst>
            <c:ext xmlns:c16="http://schemas.microsoft.com/office/drawing/2014/chart" uri="{C3380CC4-5D6E-409C-BE32-E72D297353CC}">
              <c16:uniqueId val="{00000001-0D9A-482C-B2AE-0B80A3B4EC0E}"/>
            </c:ext>
          </c:extLst>
        </c:ser>
        <c:ser>
          <c:idx val="2"/>
          <c:order val="2"/>
          <c:tx>
            <c:strRef>
              <c:f>ANALISIS!$L$168</c:f>
              <c:strCache>
                <c:ptCount val="1"/>
                <c:pt idx="0">
                  <c:v>Kecantikan</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cat>
            <c:strRef>
              <c:f>ANALISIS!$I$169:$I$180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ANALISIS!$L$169:$L$180</c:f>
              <c:numCache>
                <c:formatCode>"Rp"#,##0</c:formatCode>
                <c:ptCount val="12"/>
                <c:pt idx="0">
                  <c:v>4185000</c:v>
                </c:pt>
                <c:pt idx="1">
                  <c:v>4551000</c:v>
                </c:pt>
                <c:pt idx="2">
                  <c:v>2846000</c:v>
                </c:pt>
                <c:pt idx="3">
                  <c:v>2719000</c:v>
                </c:pt>
                <c:pt idx="4">
                  <c:v>1722000</c:v>
                </c:pt>
                <c:pt idx="5">
                  <c:v>1721000</c:v>
                </c:pt>
                <c:pt idx="6">
                  <c:v>4674000</c:v>
                </c:pt>
                <c:pt idx="7">
                  <c:v>2013000</c:v>
                </c:pt>
                <c:pt idx="8">
                  <c:v>1320000</c:v>
                </c:pt>
                <c:pt idx="9">
                  <c:v>2456000</c:v>
                </c:pt>
                <c:pt idx="10">
                  <c:v>3182000</c:v>
                </c:pt>
                <c:pt idx="11">
                  <c:v>3483000</c:v>
                </c:pt>
              </c:numCache>
            </c:numRef>
          </c:val>
          <c:smooth val="0"/>
          <c:extLst>
            <c:ext xmlns:c16="http://schemas.microsoft.com/office/drawing/2014/chart" uri="{C3380CC4-5D6E-409C-BE32-E72D297353CC}">
              <c16:uniqueId val="{00000002-0D9A-482C-B2AE-0B80A3B4EC0E}"/>
            </c:ext>
          </c:extLst>
        </c:ser>
        <c:ser>
          <c:idx val="3"/>
          <c:order val="3"/>
          <c:tx>
            <c:strRef>
              <c:f>ANALISIS!$M$168</c:f>
              <c:strCache>
                <c:ptCount val="1"/>
                <c:pt idx="0">
                  <c:v>Olahraga</c:v>
                </c:pt>
              </c:strCache>
            </c:strRef>
          </c:tx>
          <c:spPr>
            <a:ln w="22225" cap="rnd">
              <a:solidFill>
                <a:schemeClr val="accent4"/>
              </a:solidFill>
              <a:round/>
            </a:ln>
            <a:effectLst/>
          </c:spPr>
          <c:marker>
            <c:symbol val="x"/>
            <c:size val="6"/>
            <c:spPr>
              <a:noFill/>
              <a:ln w="9525">
                <a:solidFill>
                  <a:schemeClr val="accent4"/>
                </a:solidFill>
                <a:round/>
              </a:ln>
              <a:effectLst/>
            </c:spPr>
          </c:marker>
          <c:cat>
            <c:strRef>
              <c:f>ANALISIS!$I$169:$I$180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ANALISIS!$M$169:$M$180</c:f>
              <c:numCache>
                <c:formatCode>"Rp"#,##0</c:formatCode>
                <c:ptCount val="12"/>
                <c:pt idx="0">
                  <c:v>5024000</c:v>
                </c:pt>
                <c:pt idx="1">
                  <c:v>2307000</c:v>
                </c:pt>
                <c:pt idx="2">
                  <c:v>2200000</c:v>
                </c:pt>
                <c:pt idx="3">
                  <c:v>6343000</c:v>
                </c:pt>
                <c:pt idx="4">
                  <c:v>4345000</c:v>
                </c:pt>
                <c:pt idx="5">
                  <c:v>4148000</c:v>
                </c:pt>
                <c:pt idx="6">
                  <c:v>2118000</c:v>
                </c:pt>
                <c:pt idx="7">
                  <c:v>3511000</c:v>
                </c:pt>
                <c:pt idx="8">
                  <c:v>2984000</c:v>
                </c:pt>
                <c:pt idx="9">
                  <c:v>8409000</c:v>
                </c:pt>
                <c:pt idx="10">
                  <c:v>4508000</c:v>
                </c:pt>
                <c:pt idx="11">
                  <c:v>6629000</c:v>
                </c:pt>
              </c:numCache>
            </c:numRef>
          </c:val>
          <c:smooth val="0"/>
          <c:extLst>
            <c:ext xmlns:c16="http://schemas.microsoft.com/office/drawing/2014/chart" uri="{C3380CC4-5D6E-409C-BE32-E72D297353CC}">
              <c16:uniqueId val="{00000003-0D9A-482C-B2AE-0B80A3B4EC0E}"/>
            </c:ext>
          </c:extLst>
        </c:ser>
        <c:ser>
          <c:idx val="4"/>
          <c:order val="4"/>
          <c:tx>
            <c:strRef>
              <c:f>ANALISIS!$N$168</c:f>
              <c:strCache>
                <c:ptCount val="1"/>
                <c:pt idx="0">
                  <c:v>Rumah Tangga</c:v>
                </c:pt>
              </c:strCache>
            </c:strRef>
          </c:tx>
          <c:spPr>
            <a:ln w="22225" cap="rnd">
              <a:solidFill>
                <a:schemeClr val="accent5"/>
              </a:solidFill>
              <a:round/>
            </a:ln>
            <a:effectLst/>
          </c:spPr>
          <c:marker>
            <c:symbol val="star"/>
            <c:size val="6"/>
            <c:spPr>
              <a:noFill/>
              <a:ln w="9525">
                <a:solidFill>
                  <a:schemeClr val="accent5"/>
                </a:solidFill>
                <a:round/>
              </a:ln>
              <a:effectLst/>
            </c:spPr>
          </c:marker>
          <c:cat>
            <c:strRef>
              <c:f>ANALISIS!$I$169:$I$180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ANALISIS!$N$169:$N$180</c:f>
              <c:numCache>
                <c:formatCode>"Rp"#,##0</c:formatCode>
                <c:ptCount val="12"/>
                <c:pt idx="0">
                  <c:v>4573000</c:v>
                </c:pt>
                <c:pt idx="1">
                  <c:v>741000</c:v>
                </c:pt>
                <c:pt idx="2">
                  <c:v>3512000</c:v>
                </c:pt>
                <c:pt idx="3">
                  <c:v>396000</c:v>
                </c:pt>
                <c:pt idx="4">
                  <c:v>3463000</c:v>
                </c:pt>
                <c:pt idx="5">
                  <c:v>3430000</c:v>
                </c:pt>
                <c:pt idx="6">
                  <c:v>913000</c:v>
                </c:pt>
                <c:pt idx="7">
                  <c:v>6615000</c:v>
                </c:pt>
                <c:pt idx="8">
                  <c:v>1665000</c:v>
                </c:pt>
                <c:pt idx="9">
                  <c:v>3059000</c:v>
                </c:pt>
                <c:pt idx="10">
                  <c:v>2163000</c:v>
                </c:pt>
                <c:pt idx="11">
                  <c:v>4146000</c:v>
                </c:pt>
              </c:numCache>
            </c:numRef>
          </c:val>
          <c:smooth val="0"/>
          <c:extLst>
            <c:ext xmlns:c16="http://schemas.microsoft.com/office/drawing/2014/chart" uri="{C3380CC4-5D6E-409C-BE32-E72D297353CC}">
              <c16:uniqueId val="{00000004-0D9A-482C-B2AE-0B80A3B4EC0E}"/>
            </c:ext>
          </c:extLst>
        </c:ser>
        <c:dLbls>
          <c:showLegendKey val="0"/>
          <c:showVal val="0"/>
          <c:showCatName val="0"/>
          <c:showSerName val="0"/>
          <c:showPercent val="0"/>
          <c:showBubbleSize val="0"/>
        </c:dLbls>
        <c:marker val="1"/>
        <c:smooth val="0"/>
        <c:axId val="701306336"/>
        <c:axId val="701320480"/>
      </c:lineChart>
      <c:catAx>
        <c:axId val="701306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01320480"/>
        <c:crosses val="autoZero"/>
        <c:auto val="1"/>
        <c:lblAlgn val="ctr"/>
        <c:lblOffset val="100"/>
        <c:noMultiLvlLbl val="0"/>
      </c:catAx>
      <c:valAx>
        <c:axId val="701320480"/>
        <c:scaling>
          <c:orientation val="minMax"/>
        </c:scaling>
        <c:delete val="0"/>
        <c:axPos val="l"/>
        <c:numFmt formatCode="&quot;Rp&quot;#,##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3063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[Hasil_Analisis.xlsx]ANALISIS!Kontribusi_Wilayah</c:name>
    <c:fmtId val="9"/>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Kontribusi Penjualan Wilayah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pivotFmt>
      <c:pivotFmt>
        <c:idx val="34"/>
        <c:spPr>
          <a:solidFill>
            <a:schemeClr val="accent1"/>
          </a:solidFill>
          <a:ln>
            <a:noFill/>
          </a:ln>
          <a:effectLst>
            <a:outerShdw blurRad="317500" algn="ctr" rotWithShape="0">
              <a:prstClr val="black">
                <a:alpha val="25000"/>
              </a:prstClr>
            </a:outerShdw>
          </a:effectLst>
        </c:spPr>
      </c:pivotFmt>
      <c:pivotFmt>
        <c:idx val="35"/>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3611461067366579"/>
          <c:y val="0.27458114610673667"/>
          <c:w val="0.39419706911636038"/>
          <c:h val="0.65699511519393405"/>
        </c:manualLayout>
      </c:layout>
      <c:pieChart>
        <c:varyColors val="1"/>
        <c:ser>
          <c:idx val="0"/>
          <c:order val="0"/>
          <c:tx>
            <c:strRef>
              <c:f>ANALISIS!$H$33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C7B-4BD2-B632-AEE56F980DD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C7B-4BD2-B632-AEE56F980DD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C7B-4BD2-B632-AEE56F980DD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C7B-4BD2-B632-AEE56F980DD5}"/>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8C7B-4BD2-B632-AEE56F980DD5}"/>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8C7B-4BD2-B632-AEE56F980DD5}"/>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8C7B-4BD2-B632-AEE56F980DD5}"/>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8C7B-4BD2-B632-AEE56F980DD5}"/>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8C7B-4BD2-B632-AEE56F980DD5}"/>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8C7B-4BD2-B632-AEE56F980DD5}"/>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8C7B-4BD2-B632-AEE56F980DD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ANALISIS!$G$34:$G$45</c:f>
              <c:strCache>
                <c:ptCount val="11"/>
                <c:pt idx="0">
                  <c:v>Nn</c:v>
                </c:pt>
                <c:pt idx="1">
                  <c:v>Denpasar</c:v>
                </c:pt>
                <c:pt idx="2">
                  <c:v>Palembang</c:v>
                </c:pt>
                <c:pt idx="3">
                  <c:v>Yogyakarta</c:v>
                </c:pt>
                <c:pt idx="4">
                  <c:v>Jakarta</c:v>
                </c:pt>
                <c:pt idx="5">
                  <c:v>Bandung</c:v>
                </c:pt>
                <c:pt idx="6">
                  <c:v>Malang</c:v>
                </c:pt>
                <c:pt idx="7">
                  <c:v>Medan</c:v>
                </c:pt>
                <c:pt idx="8">
                  <c:v>Surabaya</c:v>
                </c:pt>
                <c:pt idx="9">
                  <c:v>Makassar</c:v>
                </c:pt>
                <c:pt idx="10">
                  <c:v>Semarang</c:v>
                </c:pt>
              </c:strCache>
            </c:strRef>
          </c:cat>
          <c:val>
            <c:numRef>
              <c:f>ANALISIS!$H$34:$H$45</c:f>
              <c:numCache>
                <c:formatCode>\ \ \ "Rp"#,##0.0,,"Jt"</c:formatCode>
                <c:ptCount val="11"/>
                <c:pt idx="0">
                  <c:v>1999000</c:v>
                </c:pt>
                <c:pt idx="1">
                  <c:v>16799000</c:v>
                </c:pt>
                <c:pt idx="2">
                  <c:v>20675000</c:v>
                </c:pt>
                <c:pt idx="3">
                  <c:v>21193000</c:v>
                </c:pt>
                <c:pt idx="4">
                  <c:v>25296000</c:v>
                </c:pt>
                <c:pt idx="5">
                  <c:v>26837000</c:v>
                </c:pt>
                <c:pt idx="6">
                  <c:v>26978000</c:v>
                </c:pt>
                <c:pt idx="7">
                  <c:v>34673000</c:v>
                </c:pt>
                <c:pt idx="8">
                  <c:v>35026000</c:v>
                </c:pt>
                <c:pt idx="9">
                  <c:v>35292000</c:v>
                </c:pt>
                <c:pt idx="10">
                  <c:v>35865000</c:v>
                </c:pt>
              </c:numCache>
            </c:numRef>
          </c:val>
          <c:extLst>
            <c:ext xmlns:c16="http://schemas.microsoft.com/office/drawing/2014/chart" uri="{C3380CC4-5D6E-409C-BE32-E72D297353CC}">
              <c16:uniqueId val="{00000000-5C59-4278-88F5-A9FA250CA12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[Hasil_Analisis.xlsx]ANALISIS!Kontribusi_Kategori</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ANALISIS!$B$73</c:f>
              <c:strCache>
                <c:ptCount val="1"/>
                <c:pt idx="0">
                  <c:v>Total Penjualan</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32D-49BD-A9C2-3FD6227C298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32D-49BD-A9C2-3FD6227C298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32D-49BD-A9C2-3FD6227C298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32D-49BD-A9C2-3FD6227C298E}"/>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32D-49BD-A9C2-3FD6227C298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ANALISIS!$A$74:$A$79</c:f>
              <c:strCache>
                <c:ptCount val="5"/>
                <c:pt idx="0">
                  <c:v>Fashion</c:v>
                </c:pt>
                <c:pt idx="1">
                  <c:v>Elektronik</c:v>
                </c:pt>
                <c:pt idx="2">
                  <c:v>Olahraga</c:v>
                </c:pt>
                <c:pt idx="3">
                  <c:v>Kecantikan</c:v>
                </c:pt>
                <c:pt idx="4">
                  <c:v>Rumah Tangga</c:v>
                </c:pt>
              </c:strCache>
            </c:strRef>
          </c:cat>
          <c:val>
            <c:numRef>
              <c:f>ANALISIS!$B$74:$B$79</c:f>
              <c:numCache>
                <c:formatCode>"Rp"#,##0</c:formatCode>
                <c:ptCount val="5"/>
                <c:pt idx="0">
                  <c:v>81388000</c:v>
                </c:pt>
                <c:pt idx="1">
                  <c:v>77171000</c:v>
                </c:pt>
                <c:pt idx="2">
                  <c:v>52526000</c:v>
                </c:pt>
                <c:pt idx="3">
                  <c:v>34872000</c:v>
                </c:pt>
                <c:pt idx="4">
                  <c:v>34676000</c:v>
                </c:pt>
              </c:numCache>
            </c:numRef>
          </c:val>
          <c:extLst>
            <c:ext xmlns:c16="http://schemas.microsoft.com/office/drawing/2014/chart" uri="{C3380CC4-5D6E-409C-BE32-E72D297353CC}">
              <c16:uniqueId val="{00000000-A2E7-4CBA-9906-7C2D8F853FD4}"/>
            </c:ext>
          </c:extLst>
        </c:ser>
        <c:ser>
          <c:idx val="1"/>
          <c:order val="1"/>
          <c:tx>
            <c:strRef>
              <c:f>ANALISIS!$C$73</c:f>
              <c:strCache>
                <c:ptCount val="1"/>
                <c:pt idx="0">
                  <c:v>Kontribusi</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232D-49BD-A9C2-3FD6227C298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232D-49BD-A9C2-3FD6227C298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232D-49BD-A9C2-3FD6227C298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232D-49BD-A9C2-3FD6227C298E}"/>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232D-49BD-A9C2-3FD6227C298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ANALISIS!$A$74:$A$79</c:f>
              <c:strCache>
                <c:ptCount val="5"/>
                <c:pt idx="0">
                  <c:v>Fashion</c:v>
                </c:pt>
                <c:pt idx="1">
                  <c:v>Elektronik</c:v>
                </c:pt>
                <c:pt idx="2">
                  <c:v>Olahraga</c:v>
                </c:pt>
                <c:pt idx="3">
                  <c:v>Kecantikan</c:v>
                </c:pt>
                <c:pt idx="4">
                  <c:v>Rumah Tangga</c:v>
                </c:pt>
              </c:strCache>
            </c:strRef>
          </c:cat>
          <c:val>
            <c:numRef>
              <c:f>ANALISIS!$C$74:$C$79</c:f>
              <c:numCache>
                <c:formatCode>0.00%</c:formatCode>
                <c:ptCount val="5"/>
                <c:pt idx="0">
                  <c:v>0.29001578574152004</c:v>
                </c:pt>
                <c:pt idx="1">
                  <c:v>0.27498904262862883</c:v>
                </c:pt>
                <c:pt idx="2">
                  <c:v>0.18716971988326392</c:v>
                </c:pt>
                <c:pt idx="3">
                  <c:v>0.12426193640804895</c:v>
                </c:pt>
                <c:pt idx="4">
                  <c:v>0.12356351533853824</c:v>
                </c:pt>
              </c:numCache>
            </c:numRef>
          </c:val>
          <c:extLst>
            <c:ext xmlns:c16="http://schemas.microsoft.com/office/drawing/2014/chart" uri="{C3380CC4-5D6E-409C-BE32-E72D297353CC}">
              <c16:uniqueId val="{00000001-A2E7-4CBA-9906-7C2D8F853FD4}"/>
            </c:ext>
          </c:extLst>
        </c:ser>
        <c:ser>
          <c:idx val="2"/>
          <c:order val="2"/>
          <c:tx>
            <c:strRef>
              <c:f>ANALISIS!$D$73</c:f>
              <c:strCache>
                <c:ptCount val="1"/>
                <c:pt idx="0">
                  <c:v>Jumlah Terjual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232D-49BD-A9C2-3FD6227C298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232D-49BD-A9C2-3FD6227C298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232D-49BD-A9C2-3FD6227C298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232D-49BD-A9C2-3FD6227C298E}"/>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232D-49BD-A9C2-3FD6227C298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ANALISIS!$A$74:$A$79</c:f>
              <c:strCache>
                <c:ptCount val="5"/>
                <c:pt idx="0">
                  <c:v>Fashion</c:v>
                </c:pt>
                <c:pt idx="1">
                  <c:v>Elektronik</c:v>
                </c:pt>
                <c:pt idx="2">
                  <c:v>Olahraga</c:v>
                </c:pt>
                <c:pt idx="3">
                  <c:v>Kecantikan</c:v>
                </c:pt>
                <c:pt idx="4">
                  <c:v>Rumah Tangga</c:v>
                </c:pt>
              </c:strCache>
            </c:strRef>
          </c:cat>
          <c:val>
            <c:numRef>
              <c:f>ANALISIS!$D$74:$D$79</c:f>
              <c:numCache>
                <c:formatCode>General</c:formatCode>
                <c:ptCount val="5"/>
                <c:pt idx="0">
                  <c:v>740</c:v>
                </c:pt>
                <c:pt idx="1">
                  <c:v>533</c:v>
                </c:pt>
                <c:pt idx="2">
                  <c:v>539</c:v>
                </c:pt>
                <c:pt idx="3">
                  <c:v>611</c:v>
                </c:pt>
                <c:pt idx="4">
                  <c:v>576</c:v>
                </c:pt>
              </c:numCache>
            </c:numRef>
          </c:val>
          <c:extLst>
            <c:ext xmlns:c16="http://schemas.microsoft.com/office/drawing/2014/chart" uri="{C3380CC4-5D6E-409C-BE32-E72D297353CC}">
              <c16:uniqueId val="{00000002-A2E7-4CBA-9906-7C2D8F853FD4}"/>
            </c:ext>
          </c:extLst>
        </c:ser>
        <c:ser>
          <c:idx val="3"/>
          <c:order val="3"/>
          <c:tx>
            <c:strRef>
              <c:f>ANALISIS!$E$73</c:f>
              <c:strCache>
                <c:ptCount val="1"/>
                <c:pt idx="0">
                  <c:v>Jumlah Transaksi</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232D-49BD-A9C2-3FD6227C298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1-232D-49BD-A9C2-3FD6227C298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3-232D-49BD-A9C2-3FD6227C298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5-232D-49BD-A9C2-3FD6227C298E}"/>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7-232D-49BD-A9C2-3FD6227C298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ANALISIS!$A$74:$A$79</c:f>
              <c:strCache>
                <c:ptCount val="5"/>
                <c:pt idx="0">
                  <c:v>Fashion</c:v>
                </c:pt>
                <c:pt idx="1">
                  <c:v>Elektronik</c:v>
                </c:pt>
                <c:pt idx="2">
                  <c:v>Olahraga</c:v>
                </c:pt>
                <c:pt idx="3">
                  <c:v>Kecantikan</c:v>
                </c:pt>
                <c:pt idx="4">
                  <c:v>Rumah Tangga</c:v>
                </c:pt>
              </c:strCache>
            </c:strRef>
          </c:cat>
          <c:val>
            <c:numRef>
              <c:f>ANALISIS!$E$74:$E$79</c:f>
              <c:numCache>
                <c:formatCode>General</c:formatCode>
                <c:ptCount val="5"/>
                <c:pt idx="0">
                  <c:v>50</c:v>
                </c:pt>
                <c:pt idx="1">
                  <c:v>41</c:v>
                </c:pt>
                <c:pt idx="2">
                  <c:v>42</c:v>
                </c:pt>
                <c:pt idx="3">
                  <c:v>46</c:v>
                </c:pt>
                <c:pt idx="4">
                  <c:v>41</c:v>
                </c:pt>
              </c:numCache>
            </c:numRef>
          </c:val>
          <c:extLst>
            <c:ext xmlns:c16="http://schemas.microsoft.com/office/drawing/2014/chart" uri="{C3380CC4-5D6E-409C-BE32-E72D297353CC}">
              <c16:uniqueId val="{00000003-A2E7-4CBA-9906-7C2D8F853FD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[Hasil_Analisis.xlsx]ANALISIS!AOV_Segmen_Pelanggan</c:name>
    <c:fmtId val="21"/>
  </c:pivotSource>
  <c:chart>
    <c:autoTitleDeleted val="0"/>
    <c:pivotFmts>
      <c:pivotFmt>
        <c:idx val="0"/>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8100" cap="rnd">
            <a:solidFill>
              <a:schemeClr val="accent1"/>
            </a:solidFill>
            <a:round/>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ANALISIS!$C$106</c:f>
              <c:strCache>
                <c:ptCount val="1"/>
                <c:pt idx="0">
                  <c:v>Total Penjualan</c:v>
                </c:pt>
              </c:strCache>
            </c:strRef>
          </c:tx>
          <c:spPr>
            <a:solidFill>
              <a:schemeClr val="accent2"/>
            </a:solidFill>
            <a:ln>
              <a:noFill/>
            </a:ln>
            <a:effectLst/>
          </c:spPr>
          <c:invertIfNegative val="0"/>
          <c:cat>
            <c:strRef>
              <c:f>ANALISIS!$A$107:$A$110</c:f>
              <c:strCache>
                <c:ptCount val="3"/>
                <c:pt idx="0">
                  <c:v>Grosir</c:v>
                </c:pt>
                <c:pt idx="1">
                  <c:v>Retail</c:v>
                </c:pt>
                <c:pt idx="2">
                  <c:v>Reseller</c:v>
                </c:pt>
              </c:strCache>
            </c:strRef>
          </c:cat>
          <c:val>
            <c:numRef>
              <c:f>ANALISIS!$C$107:$C$110</c:f>
              <c:numCache>
                <c:formatCode>\ \ \ "Rp"#,##0.0,,"Jt"</c:formatCode>
                <c:ptCount val="3"/>
                <c:pt idx="0">
                  <c:v>44007000</c:v>
                </c:pt>
                <c:pt idx="1">
                  <c:v>166444000</c:v>
                </c:pt>
                <c:pt idx="2">
                  <c:v>70182000</c:v>
                </c:pt>
              </c:numCache>
            </c:numRef>
          </c:val>
          <c:extLst>
            <c:ext xmlns:c16="http://schemas.microsoft.com/office/drawing/2014/chart" uri="{C3380CC4-5D6E-409C-BE32-E72D297353CC}">
              <c16:uniqueId val="{00000001-AFD2-4F9C-9A7D-0F727E3B6FAC}"/>
            </c:ext>
          </c:extLst>
        </c:ser>
        <c:dLbls>
          <c:showLegendKey val="0"/>
          <c:showVal val="0"/>
          <c:showCatName val="0"/>
          <c:showSerName val="0"/>
          <c:showPercent val="0"/>
          <c:showBubbleSize val="0"/>
        </c:dLbls>
        <c:gapWidth val="269"/>
        <c:overlap val="-27"/>
        <c:axId val="129066975"/>
        <c:axId val="129075295"/>
      </c:barChart>
      <c:lineChart>
        <c:grouping val="standard"/>
        <c:varyColors val="0"/>
        <c:ser>
          <c:idx val="2"/>
          <c:order val="2"/>
          <c:tx>
            <c:strRef>
              <c:f>ANALISIS!$D$106</c:f>
              <c:strCache>
                <c:ptCount val="1"/>
                <c:pt idx="0">
                  <c:v>Kontribusi</c:v>
                </c:pt>
              </c:strCache>
            </c:strRef>
          </c:tx>
          <c:spPr>
            <a:ln w="38100" cap="rnd">
              <a:solidFill>
                <a:schemeClr val="accent3"/>
              </a:solidFill>
              <a:round/>
            </a:ln>
            <a:effectLst/>
          </c:spPr>
          <c:marker>
            <c:symbol val="circle"/>
            <c:size val="8"/>
            <c:spPr>
              <a:solidFill>
                <a:schemeClr val="accent3"/>
              </a:solidFill>
              <a:ln>
                <a:noFill/>
              </a:ln>
              <a:effectLst/>
            </c:spPr>
          </c:marker>
          <c:cat>
            <c:strRef>
              <c:f>ANALISIS!$A$107:$A$110</c:f>
              <c:strCache>
                <c:ptCount val="3"/>
                <c:pt idx="0">
                  <c:v>Grosir</c:v>
                </c:pt>
                <c:pt idx="1">
                  <c:v>Retail</c:v>
                </c:pt>
                <c:pt idx="2">
                  <c:v>Reseller</c:v>
                </c:pt>
              </c:strCache>
            </c:strRef>
          </c:cat>
          <c:val>
            <c:numRef>
              <c:f>ANALISIS!$D$107:$D$110</c:f>
              <c:numCache>
                <c:formatCode>0.00%</c:formatCode>
                <c:ptCount val="3"/>
                <c:pt idx="0">
                  <c:v>0.15681334696917326</c:v>
                </c:pt>
                <c:pt idx="1">
                  <c:v>0.59310202292674064</c:v>
                </c:pt>
                <c:pt idx="2">
                  <c:v>0.2500846301040861</c:v>
                </c:pt>
              </c:numCache>
            </c:numRef>
          </c:val>
          <c:smooth val="0"/>
          <c:extLst>
            <c:ext xmlns:c16="http://schemas.microsoft.com/office/drawing/2014/chart" uri="{C3380CC4-5D6E-409C-BE32-E72D297353CC}">
              <c16:uniqueId val="{00000002-AFD2-4F9C-9A7D-0F727E3B6FAC}"/>
            </c:ext>
          </c:extLst>
        </c:ser>
        <c:ser>
          <c:idx val="3"/>
          <c:order val="3"/>
          <c:tx>
            <c:strRef>
              <c:f>ANALISIS!$E$106</c:f>
              <c:strCache>
                <c:ptCount val="1"/>
                <c:pt idx="0">
                  <c:v>Jumlah Transaksi</c:v>
                </c:pt>
              </c:strCache>
            </c:strRef>
          </c:tx>
          <c:spPr>
            <a:ln w="38100" cap="rnd">
              <a:solidFill>
                <a:schemeClr val="accent4"/>
              </a:solidFill>
              <a:round/>
            </a:ln>
            <a:effectLst/>
          </c:spPr>
          <c:marker>
            <c:symbol val="circle"/>
            <c:size val="8"/>
            <c:spPr>
              <a:solidFill>
                <a:schemeClr val="accent4"/>
              </a:solidFill>
              <a:ln>
                <a:noFill/>
              </a:ln>
              <a:effectLst/>
            </c:spPr>
          </c:marker>
          <c:cat>
            <c:strRef>
              <c:f>ANALISIS!$A$107:$A$110</c:f>
              <c:strCache>
                <c:ptCount val="3"/>
                <c:pt idx="0">
                  <c:v>Grosir</c:v>
                </c:pt>
                <c:pt idx="1">
                  <c:v>Retail</c:v>
                </c:pt>
                <c:pt idx="2">
                  <c:v>Reseller</c:v>
                </c:pt>
              </c:strCache>
            </c:strRef>
          </c:cat>
          <c:val>
            <c:numRef>
              <c:f>ANALISIS!$E$107:$E$110</c:f>
              <c:numCache>
                <c:formatCode>General</c:formatCode>
                <c:ptCount val="3"/>
                <c:pt idx="0">
                  <c:v>25</c:v>
                </c:pt>
                <c:pt idx="1">
                  <c:v>127</c:v>
                </c:pt>
                <c:pt idx="2">
                  <c:v>68</c:v>
                </c:pt>
              </c:numCache>
            </c:numRef>
          </c:val>
          <c:smooth val="0"/>
          <c:extLst>
            <c:ext xmlns:c16="http://schemas.microsoft.com/office/drawing/2014/chart" uri="{C3380CC4-5D6E-409C-BE32-E72D297353CC}">
              <c16:uniqueId val="{00000003-AFD2-4F9C-9A7D-0F727E3B6FAC}"/>
            </c:ext>
          </c:extLst>
        </c:ser>
        <c:dLbls>
          <c:showLegendKey val="0"/>
          <c:showVal val="0"/>
          <c:showCatName val="0"/>
          <c:showSerName val="0"/>
          <c:showPercent val="0"/>
          <c:showBubbleSize val="0"/>
        </c:dLbls>
        <c:marker val="1"/>
        <c:smooth val="0"/>
        <c:axId val="129066975"/>
        <c:axId val="129075295"/>
      </c:lineChart>
      <c:lineChart>
        <c:grouping val="standard"/>
        <c:varyColors val="0"/>
        <c:ser>
          <c:idx val="0"/>
          <c:order val="0"/>
          <c:tx>
            <c:strRef>
              <c:f>ANALISIS!$B$106</c:f>
              <c:strCache>
                <c:ptCount val="1"/>
                <c:pt idx="0">
                  <c:v>Rata-rata Penjualan</c:v>
                </c:pt>
              </c:strCache>
            </c:strRef>
          </c:tx>
          <c:spPr>
            <a:ln w="38100" cap="rnd">
              <a:solidFill>
                <a:schemeClr val="accent1"/>
              </a:solidFill>
              <a:round/>
            </a:ln>
            <a:effectLst/>
          </c:spPr>
          <c:marker>
            <c:symbol val="circle"/>
            <c:size val="8"/>
            <c:spPr>
              <a:solidFill>
                <a:schemeClr val="accent1"/>
              </a:solidFill>
              <a:ln>
                <a:noFill/>
              </a:ln>
              <a:effectLst/>
            </c:spPr>
          </c:marker>
          <c:cat>
            <c:strRef>
              <c:f>ANALISIS!$A$107:$A$110</c:f>
              <c:strCache>
                <c:ptCount val="3"/>
                <c:pt idx="0">
                  <c:v>Grosir</c:v>
                </c:pt>
                <c:pt idx="1">
                  <c:v>Retail</c:v>
                </c:pt>
                <c:pt idx="2">
                  <c:v>Reseller</c:v>
                </c:pt>
              </c:strCache>
            </c:strRef>
          </c:cat>
          <c:val>
            <c:numRef>
              <c:f>ANALISIS!$B$107:$B$110</c:f>
              <c:numCache>
                <c:formatCode>\ \ \ "Rp"#,##0.0,,"Jt"</c:formatCode>
                <c:ptCount val="3"/>
                <c:pt idx="0">
                  <c:v>1760280</c:v>
                </c:pt>
                <c:pt idx="1">
                  <c:v>1310582.6771653544</c:v>
                </c:pt>
                <c:pt idx="2">
                  <c:v>1032088.2352941176</c:v>
                </c:pt>
              </c:numCache>
            </c:numRef>
          </c:val>
          <c:smooth val="0"/>
          <c:extLst>
            <c:ext xmlns:c16="http://schemas.microsoft.com/office/drawing/2014/chart" uri="{C3380CC4-5D6E-409C-BE32-E72D297353CC}">
              <c16:uniqueId val="{00000000-AFD2-4F9C-9A7D-0F727E3B6FAC}"/>
            </c:ext>
          </c:extLst>
        </c:ser>
        <c:dLbls>
          <c:showLegendKey val="0"/>
          <c:showVal val="0"/>
          <c:showCatName val="0"/>
          <c:showSerName val="0"/>
          <c:showPercent val="0"/>
          <c:showBubbleSize val="0"/>
        </c:dLbls>
        <c:marker val="1"/>
        <c:smooth val="0"/>
        <c:axId val="129069055"/>
        <c:axId val="129068639"/>
      </c:lineChart>
      <c:catAx>
        <c:axId val="129066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29075295"/>
        <c:crosses val="autoZero"/>
        <c:auto val="1"/>
        <c:lblAlgn val="ctr"/>
        <c:lblOffset val="100"/>
        <c:noMultiLvlLbl val="0"/>
      </c:catAx>
      <c:valAx>
        <c:axId val="1290752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 \ \ &quot;Rp&quot;#,##0.0,,&quot;J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66975"/>
        <c:crosses val="autoZero"/>
        <c:crossBetween val="between"/>
      </c:valAx>
      <c:valAx>
        <c:axId val="129068639"/>
        <c:scaling>
          <c:orientation val="minMax"/>
        </c:scaling>
        <c:delete val="0"/>
        <c:axPos val="r"/>
        <c:numFmt formatCode="\ \ \ &quot;Rp&quot;#,##0.0,,&quot;J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69055"/>
        <c:crosses val="max"/>
        <c:crossBetween val="between"/>
      </c:valAx>
      <c:catAx>
        <c:axId val="129069055"/>
        <c:scaling>
          <c:orientation val="minMax"/>
        </c:scaling>
        <c:delete val="1"/>
        <c:axPos val="b"/>
        <c:numFmt formatCode="General" sourceLinked="1"/>
        <c:majorTickMark val="out"/>
        <c:minorTickMark val="none"/>
        <c:tickLblPos val="nextTo"/>
        <c:crossAx val="1290686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[Hasil_Analisis.xlsx]ANALISIS!Metode_Pembayaran</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Metode</a:t>
            </a:r>
            <a:r>
              <a:rPr lang="en-US" baseline="0"/>
              <a:t> Pembayaran</a:t>
            </a:r>
          </a:p>
        </c:rich>
      </c:tx>
      <c:layout>
        <c:manualLayout>
          <c:xMode val="edge"/>
          <c:yMode val="edge"/>
          <c:x val="0.29291220733928225"/>
          <c:y val="9.521220506596070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9"/>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9"/>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s>
    <c:plotArea>
      <c:layout>
        <c:manualLayout>
          <c:layoutTarget val="inner"/>
          <c:xMode val="edge"/>
          <c:yMode val="edge"/>
          <c:x val="0.34460260813669386"/>
          <c:y val="0.32172458416567867"/>
          <c:w val="0.34971552753820612"/>
          <c:h val="0.55321167381173209"/>
        </c:manualLayout>
      </c:layout>
      <c:pieChart>
        <c:varyColors val="1"/>
        <c:ser>
          <c:idx val="0"/>
          <c:order val="0"/>
          <c:tx>
            <c:strRef>
              <c:f>ANALISIS!$B$135</c:f>
              <c:strCache>
                <c:ptCount val="1"/>
                <c:pt idx="0">
                  <c:v>Sum of Total_Penjualan</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01-CE9B-48CB-AD31-665279ECD2E0}"/>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03-CE9B-48CB-AD31-665279ECD2E0}"/>
              </c:ext>
            </c:extLst>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extLst>
              <c:ext xmlns:c16="http://schemas.microsoft.com/office/drawing/2014/chart" uri="{C3380CC4-5D6E-409C-BE32-E72D297353CC}">
                <c16:uniqueId val="{00000005-CE9B-48CB-AD31-665279ECD2E0}"/>
              </c:ext>
            </c:extLst>
          </c:dPt>
          <c:dPt>
            <c:idx val="3"/>
            <c:bubble3D val="0"/>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ln>
              <a:effectLst/>
            </c:spPr>
            <c:extLst>
              <c:ext xmlns:c16="http://schemas.microsoft.com/office/drawing/2014/chart" uri="{C3380CC4-5D6E-409C-BE32-E72D297353CC}">
                <c16:uniqueId val="{00000007-CE9B-48CB-AD31-665279ECD2E0}"/>
              </c:ext>
            </c:extLst>
          </c:dPt>
          <c:dPt>
            <c:idx val="4"/>
            <c:bubble3D val="0"/>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extLst>
              <c:ext xmlns:c16="http://schemas.microsoft.com/office/drawing/2014/chart" uri="{C3380CC4-5D6E-409C-BE32-E72D297353CC}">
                <c16:uniqueId val="{00000009-CE9B-48CB-AD31-665279ECD2E0}"/>
              </c:ext>
            </c:extLst>
          </c:dPt>
          <c:dPt>
            <c:idx val="5"/>
            <c:bubble3D val="0"/>
            <c:spPr>
              <a:gradFill>
                <a:gsLst>
                  <a:gs pos="0">
                    <a:schemeClr val="accent6">
                      <a:shade val="51000"/>
                    </a:schemeClr>
                  </a:gs>
                  <a:gs pos="80000">
                    <a:schemeClr val="accent6">
                      <a:shade val="93000"/>
                    </a:schemeClr>
                  </a:gs>
                  <a:gs pos="100000">
                    <a:schemeClr val="accent6">
                      <a:shade val="94000"/>
                    </a:schemeClr>
                  </a:gs>
                </a:gsLst>
                <a:lin ang="16200000" scaled="0"/>
                <a:tileRect/>
              </a:gradFill>
              <a:ln>
                <a:noFill/>
              </a:ln>
              <a:effectLst/>
            </c:spPr>
            <c:extLst>
              <c:ext xmlns:c16="http://schemas.microsoft.com/office/drawing/2014/chart" uri="{C3380CC4-5D6E-409C-BE32-E72D297353CC}">
                <c16:uniqueId val="{0000000B-CE9B-48CB-AD31-665279ECD2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ANALISIS!$A$136:$A$142</c:f>
              <c:strCache>
                <c:ptCount val="6"/>
                <c:pt idx="0">
                  <c:v>QRIS</c:v>
                </c:pt>
                <c:pt idx="1">
                  <c:v>E-Wallet</c:v>
                </c:pt>
                <c:pt idx="2">
                  <c:v>Kartu Kredit</c:v>
                </c:pt>
                <c:pt idx="3">
                  <c:v>COD</c:v>
                </c:pt>
                <c:pt idx="4">
                  <c:v>Transfer Bank</c:v>
                </c:pt>
                <c:pt idx="5">
                  <c:v>Nn</c:v>
                </c:pt>
              </c:strCache>
            </c:strRef>
          </c:cat>
          <c:val>
            <c:numRef>
              <c:f>ANALISIS!$B$136:$B$142</c:f>
              <c:numCache>
                <c:formatCode>"Rp"#,##0</c:formatCode>
                <c:ptCount val="6"/>
                <c:pt idx="0">
                  <c:v>80007000</c:v>
                </c:pt>
                <c:pt idx="1">
                  <c:v>53448000</c:v>
                </c:pt>
                <c:pt idx="2">
                  <c:v>51497000</c:v>
                </c:pt>
                <c:pt idx="3">
                  <c:v>48576000</c:v>
                </c:pt>
                <c:pt idx="4">
                  <c:v>41401000</c:v>
                </c:pt>
                <c:pt idx="5">
                  <c:v>5704000</c:v>
                </c:pt>
              </c:numCache>
            </c:numRef>
          </c:val>
          <c:extLst>
            <c:ext xmlns:c16="http://schemas.microsoft.com/office/drawing/2014/chart" uri="{C3380CC4-5D6E-409C-BE32-E72D297353CC}">
              <c16:uniqueId val="{00000000-8E97-46A9-96A1-C9D08283D3F0}"/>
            </c:ext>
          </c:extLst>
        </c:ser>
        <c:ser>
          <c:idx val="1"/>
          <c:order val="1"/>
          <c:tx>
            <c:strRef>
              <c:f>ANALISIS!$C$135</c:f>
              <c:strCache>
                <c:ptCount val="1"/>
                <c:pt idx="0">
                  <c:v>Count of Order_ID</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0D-CE9B-48CB-AD31-665279ECD2E0}"/>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0F-CE9B-48CB-AD31-665279ECD2E0}"/>
              </c:ext>
            </c:extLst>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extLst>
              <c:ext xmlns:c16="http://schemas.microsoft.com/office/drawing/2014/chart" uri="{C3380CC4-5D6E-409C-BE32-E72D297353CC}">
                <c16:uniqueId val="{00000011-CE9B-48CB-AD31-665279ECD2E0}"/>
              </c:ext>
            </c:extLst>
          </c:dPt>
          <c:dPt>
            <c:idx val="3"/>
            <c:bubble3D val="0"/>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ln>
              <a:effectLst/>
            </c:spPr>
            <c:extLst>
              <c:ext xmlns:c16="http://schemas.microsoft.com/office/drawing/2014/chart" uri="{C3380CC4-5D6E-409C-BE32-E72D297353CC}">
                <c16:uniqueId val="{00000013-CE9B-48CB-AD31-665279ECD2E0}"/>
              </c:ext>
            </c:extLst>
          </c:dPt>
          <c:dPt>
            <c:idx val="4"/>
            <c:bubble3D val="0"/>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extLst>
              <c:ext xmlns:c16="http://schemas.microsoft.com/office/drawing/2014/chart" uri="{C3380CC4-5D6E-409C-BE32-E72D297353CC}">
                <c16:uniqueId val="{00000015-CE9B-48CB-AD31-665279ECD2E0}"/>
              </c:ext>
            </c:extLst>
          </c:dPt>
          <c:dPt>
            <c:idx val="5"/>
            <c:bubble3D val="0"/>
            <c:spPr>
              <a:gradFill>
                <a:gsLst>
                  <a:gs pos="0">
                    <a:schemeClr val="accent6">
                      <a:shade val="51000"/>
                    </a:schemeClr>
                  </a:gs>
                  <a:gs pos="80000">
                    <a:schemeClr val="accent6">
                      <a:shade val="93000"/>
                    </a:schemeClr>
                  </a:gs>
                  <a:gs pos="100000">
                    <a:schemeClr val="accent6">
                      <a:shade val="94000"/>
                    </a:schemeClr>
                  </a:gs>
                </a:gsLst>
                <a:lin ang="16200000" scaled="0"/>
                <a:tileRect/>
              </a:gradFill>
              <a:ln>
                <a:noFill/>
              </a:ln>
              <a:effectLst/>
            </c:spPr>
            <c:extLst>
              <c:ext xmlns:c16="http://schemas.microsoft.com/office/drawing/2014/chart" uri="{C3380CC4-5D6E-409C-BE32-E72D297353CC}">
                <c16:uniqueId val="{00000017-CE9B-48CB-AD31-665279ECD2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ANALISIS!$A$136:$A$142</c:f>
              <c:strCache>
                <c:ptCount val="6"/>
                <c:pt idx="0">
                  <c:v>QRIS</c:v>
                </c:pt>
                <c:pt idx="1">
                  <c:v>E-Wallet</c:v>
                </c:pt>
                <c:pt idx="2">
                  <c:v>Kartu Kredit</c:v>
                </c:pt>
                <c:pt idx="3">
                  <c:v>COD</c:v>
                </c:pt>
                <c:pt idx="4">
                  <c:v>Transfer Bank</c:v>
                </c:pt>
                <c:pt idx="5">
                  <c:v>Nn</c:v>
                </c:pt>
              </c:strCache>
            </c:strRef>
          </c:cat>
          <c:val>
            <c:numRef>
              <c:f>ANALISIS!$C$136:$C$142</c:f>
              <c:numCache>
                <c:formatCode>General</c:formatCode>
                <c:ptCount val="6"/>
                <c:pt idx="0">
                  <c:v>57</c:v>
                </c:pt>
                <c:pt idx="1">
                  <c:v>41</c:v>
                </c:pt>
                <c:pt idx="2">
                  <c:v>37</c:v>
                </c:pt>
                <c:pt idx="3">
                  <c:v>47</c:v>
                </c:pt>
                <c:pt idx="4">
                  <c:v>35</c:v>
                </c:pt>
                <c:pt idx="5">
                  <c:v>3</c:v>
                </c:pt>
              </c:numCache>
            </c:numRef>
          </c:val>
          <c:extLst>
            <c:ext xmlns:c16="http://schemas.microsoft.com/office/drawing/2014/chart" uri="{C3380CC4-5D6E-409C-BE32-E72D297353CC}">
              <c16:uniqueId val="{00000001-8E97-46A9-96A1-C9D08283D3F0}"/>
            </c:ext>
          </c:extLst>
        </c:ser>
        <c:ser>
          <c:idx val="2"/>
          <c:order val="2"/>
          <c:tx>
            <c:strRef>
              <c:f>ANALISIS!$D$135</c:f>
              <c:strCache>
                <c:ptCount val="1"/>
                <c:pt idx="0">
                  <c:v>Average of Total_Penjualan2</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19-CE9B-48CB-AD31-665279ECD2E0}"/>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1B-CE9B-48CB-AD31-665279ECD2E0}"/>
              </c:ext>
            </c:extLst>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extLst>
              <c:ext xmlns:c16="http://schemas.microsoft.com/office/drawing/2014/chart" uri="{C3380CC4-5D6E-409C-BE32-E72D297353CC}">
                <c16:uniqueId val="{0000001D-CE9B-48CB-AD31-665279ECD2E0}"/>
              </c:ext>
            </c:extLst>
          </c:dPt>
          <c:dPt>
            <c:idx val="3"/>
            <c:bubble3D val="0"/>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ln>
              <a:effectLst/>
            </c:spPr>
            <c:extLst>
              <c:ext xmlns:c16="http://schemas.microsoft.com/office/drawing/2014/chart" uri="{C3380CC4-5D6E-409C-BE32-E72D297353CC}">
                <c16:uniqueId val="{0000001F-CE9B-48CB-AD31-665279ECD2E0}"/>
              </c:ext>
            </c:extLst>
          </c:dPt>
          <c:dPt>
            <c:idx val="4"/>
            <c:bubble3D val="0"/>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extLst>
              <c:ext xmlns:c16="http://schemas.microsoft.com/office/drawing/2014/chart" uri="{C3380CC4-5D6E-409C-BE32-E72D297353CC}">
                <c16:uniqueId val="{00000021-CE9B-48CB-AD31-665279ECD2E0}"/>
              </c:ext>
            </c:extLst>
          </c:dPt>
          <c:dPt>
            <c:idx val="5"/>
            <c:bubble3D val="0"/>
            <c:spPr>
              <a:gradFill>
                <a:gsLst>
                  <a:gs pos="0">
                    <a:schemeClr val="accent6">
                      <a:shade val="51000"/>
                    </a:schemeClr>
                  </a:gs>
                  <a:gs pos="80000">
                    <a:schemeClr val="accent6">
                      <a:shade val="93000"/>
                    </a:schemeClr>
                  </a:gs>
                  <a:gs pos="100000">
                    <a:schemeClr val="accent6">
                      <a:shade val="94000"/>
                    </a:schemeClr>
                  </a:gs>
                </a:gsLst>
                <a:lin ang="16200000" scaled="0"/>
                <a:tileRect/>
              </a:gradFill>
              <a:ln>
                <a:noFill/>
              </a:ln>
              <a:effectLst/>
            </c:spPr>
            <c:extLst>
              <c:ext xmlns:c16="http://schemas.microsoft.com/office/drawing/2014/chart" uri="{C3380CC4-5D6E-409C-BE32-E72D297353CC}">
                <c16:uniqueId val="{00000023-CE9B-48CB-AD31-665279ECD2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ANALISIS!$A$136:$A$142</c:f>
              <c:strCache>
                <c:ptCount val="6"/>
                <c:pt idx="0">
                  <c:v>QRIS</c:v>
                </c:pt>
                <c:pt idx="1">
                  <c:v>E-Wallet</c:v>
                </c:pt>
                <c:pt idx="2">
                  <c:v>Kartu Kredit</c:v>
                </c:pt>
                <c:pt idx="3">
                  <c:v>COD</c:v>
                </c:pt>
                <c:pt idx="4">
                  <c:v>Transfer Bank</c:v>
                </c:pt>
                <c:pt idx="5">
                  <c:v>Nn</c:v>
                </c:pt>
              </c:strCache>
            </c:strRef>
          </c:cat>
          <c:val>
            <c:numRef>
              <c:f>ANALISIS!$D$136:$D$142</c:f>
              <c:numCache>
                <c:formatCode>"Rp"#,##0</c:formatCode>
                <c:ptCount val="6"/>
                <c:pt idx="0">
                  <c:v>1403631.5789473683</c:v>
                </c:pt>
                <c:pt idx="1">
                  <c:v>1303609.756097561</c:v>
                </c:pt>
                <c:pt idx="2">
                  <c:v>1391810.8108108109</c:v>
                </c:pt>
                <c:pt idx="3">
                  <c:v>1033531.914893617</c:v>
                </c:pt>
                <c:pt idx="4">
                  <c:v>1182885.7142857143</c:v>
                </c:pt>
                <c:pt idx="5">
                  <c:v>1901333.3333333333</c:v>
                </c:pt>
              </c:numCache>
            </c:numRef>
          </c:val>
          <c:extLst>
            <c:ext xmlns:c16="http://schemas.microsoft.com/office/drawing/2014/chart" uri="{C3380CC4-5D6E-409C-BE32-E72D297353CC}">
              <c16:uniqueId val="{00000002-8E97-46A9-96A1-C9D08283D3F0}"/>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[Hasil_Analisis.xlsx]ANALISIS!PivotTable13</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ANALISIS!$H$82</c:f>
              <c:strCache>
                <c:ptCount val="1"/>
                <c:pt idx="0">
                  <c:v>Total</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ANALISIS!$G$83:$G$88</c:f>
              <c:strCache>
                <c:ptCount val="5"/>
                <c:pt idx="0">
                  <c:v>Fashion</c:v>
                </c:pt>
                <c:pt idx="1">
                  <c:v>Elektronik</c:v>
                </c:pt>
                <c:pt idx="2">
                  <c:v>Olahraga</c:v>
                </c:pt>
                <c:pt idx="3">
                  <c:v>Kecantikan</c:v>
                </c:pt>
                <c:pt idx="4">
                  <c:v>Rumah Tangga</c:v>
                </c:pt>
              </c:strCache>
            </c:strRef>
          </c:cat>
          <c:val>
            <c:numRef>
              <c:f>ANALISIS!$H$83:$H$88</c:f>
              <c:numCache>
                <c:formatCode>\ \ \ "Rp"#,##0.0,,"Jt"</c:formatCode>
                <c:ptCount val="5"/>
                <c:pt idx="0">
                  <c:v>81388000</c:v>
                </c:pt>
                <c:pt idx="1">
                  <c:v>77171000</c:v>
                </c:pt>
                <c:pt idx="2">
                  <c:v>52526000</c:v>
                </c:pt>
                <c:pt idx="3">
                  <c:v>34872000</c:v>
                </c:pt>
                <c:pt idx="4">
                  <c:v>34676000</c:v>
                </c:pt>
              </c:numCache>
            </c:numRef>
          </c:val>
          <c:extLst>
            <c:ext xmlns:c16="http://schemas.microsoft.com/office/drawing/2014/chart" uri="{C3380CC4-5D6E-409C-BE32-E72D297353CC}">
              <c16:uniqueId val="{00000000-CD1F-4875-A6A9-F42BC55A4C82}"/>
            </c:ext>
          </c:extLst>
        </c:ser>
        <c:dLbls>
          <c:dLblPos val="outEnd"/>
          <c:showLegendKey val="0"/>
          <c:showVal val="1"/>
          <c:showCatName val="0"/>
          <c:showSerName val="0"/>
          <c:showPercent val="0"/>
          <c:showBubbleSize val="0"/>
        </c:dLbls>
        <c:gapWidth val="100"/>
        <c:overlap val="-24"/>
        <c:axId val="777052288"/>
        <c:axId val="777056864"/>
      </c:barChart>
      <c:catAx>
        <c:axId val="7770522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056864"/>
        <c:crosses val="autoZero"/>
        <c:auto val="1"/>
        <c:lblAlgn val="ctr"/>
        <c:lblOffset val="100"/>
        <c:noMultiLvlLbl val="0"/>
      </c:catAx>
      <c:valAx>
        <c:axId val="777056864"/>
        <c:scaling>
          <c:orientation val="minMax"/>
        </c:scaling>
        <c:delete val="0"/>
        <c:axPos val="l"/>
        <c:majorGridlines>
          <c:spPr>
            <a:ln w="9525" cap="flat" cmpd="sng" algn="ctr">
              <a:solidFill>
                <a:schemeClr val="tx1">
                  <a:lumMod val="15000"/>
                  <a:lumOff val="85000"/>
                </a:schemeClr>
              </a:solidFill>
              <a:round/>
            </a:ln>
            <a:effectLst/>
          </c:spPr>
        </c:majorGridlines>
        <c:numFmt formatCode="\ \ \ &quot;Rp&quot;#,##0.0,,&quot;J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05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[Hasil_Analisis.xlsx]ANALISIS!AOV_Pelanggan</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Rata-Rata Nilai Transaksi (AOV)</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ANALISIS!$H$106</c:f>
              <c:strCache>
                <c:ptCount val="1"/>
                <c:pt idx="0">
                  <c:v>Total</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ANALISIS!$G$107:$G$110</c:f>
              <c:strCache>
                <c:ptCount val="3"/>
                <c:pt idx="0">
                  <c:v>Grosir</c:v>
                </c:pt>
                <c:pt idx="1">
                  <c:v>Retail</c:v>
                </c:pt>
                <c:pt idx="2">
                  <c:v>Reseller</c:v>
                </c:pt>
              </c:strCache>
            </c:strRef>
          </c:cat>
          <c:val>
            <c:numRef>
              <c:f>ANALISIS!$H$107:$H$110</c:f>
              <c:numCache>
                <c:formatCode>\ \ \ "Rp"#,##0.0,,"Jt"</c:formatCode>
                <c:ptCount val="3"/>
                <c:pt idx="0">
                  <c:v>1760280</c:v>
                </c:pt>
                <c:pt idx="1">
                  <c:v>1310582.6771653544</c:v>
                </c:pt>
                <c:pt idx="2">
                  <c:v>1032088.2352941176</c:v>
                </c:pt>
              </c:numCache>
            </c:numRef>
          </c:val>
          <c:extLst>
            <c:ext xmlns:c16="http://schemas.microsoft.com/office/drawing/2014/chart" uri="{C3380CC4-5D6E-409C-BE32-E72D297353CC}">
              <c16:uniqueId val="{00000000-E608-40C6-B7B9-A995DE9DAD84}"/>
            </c:ext>
          </c:extLst>
        </c:ser>
        <c:dLbls>
          <c:dLblPos val="outEnd"/>
          <c:showLegendKey val="0"/>
          <c:showVal val="1"/>
          <c:showCatName val="0"/>
          <c:showSerName val="0"/>
          <c:showPercent val="0"/>
          <c:showBubbleSize val="0"/>
        </c:dLbls>
        <c:gapWidth val="100"/>
        <c:overlap val="-24"/>
        <c:axId val="859914512"/>
        <c:axId val="1257029728"/>
      </c:barChart>
      <c:catAx>
        <c:axId val="8599145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29728"/>
        <c:crosses val="autoZero"/>
        <c:auto val="1"/>
        <c:lblAlgn val="ctr"/>
        <c:lblOffset val="100"/>
        <c:noMultiLvlLbl val="0"/>
      </c:catAx>
      <c:valAx>
        <c:axId val="1257029728"/>
        <c:scaling>
          <c:orientation val="minMax"/>
        </c:scaling>
        <c:delete val="0"/>
        <c:axPos val="l"/>
        <c:majorGridlines>
          <c:spPr>
            <a:ln w="9525" cap="flat" cmpd="sng" algn="ctr">
              <a:solidFill>
                <a:schemeClr val="tx1">
                  <a:lumMod val="15000"/>
                  <a:lumOff val="85000"/>
                </a:schemeClr>
              </a:solidFill>
              <a:round/>
            </a:ln>
            <a:effectLst/>
          </c:spPr>
        </c:majorGridlines>
        <c:numFmt formatCode="\ \ \ &quot;Rp&quot;#,##0.0,,&quot;J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91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[Hasil_Analisis.xlsx]ANALISIS!AOVWilayah</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AOV</a:t>
            </a:r>
            <a:r>
              <a:rPr lang="en-US" baseline="0"/>
              <a:t> per Wilayah</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9"/>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s>
    <c:plotArea>
      <c:layout/>
      <c:pieChart>
        <c:varyColors val="1"/>
        <c:ser>
          <c:idx val="0"/>
          <c:order val="0"/>
          <c:tx>
            <c:strRef>
              <c:f>ANALISIS!$K$33</c:f>
              <c:strCache>
                <c:ptCount val="1"/>
                <c:pt idx="0">
                  <c:v>Total</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01-C0B0-4065-8A17-27C6F5CABFCA}"/>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03-783E-418C-8616-6462BE400CB2}"/>
              </c:ext>
            </c:extLst>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extLst>
              <c:ext xmlns:c16="http://schemas.microsoft.com/office/drawing/2014/chart" uri="{C3380CC4-5D6E-409C-BE32-E72D297353CC}">
                <c16:uniqueId val="{00000005-783E-418C-8616-6462BE400CB2}"/>
              </c:ext>
            </c:extLst>
          </c:dPt>
          <c:dPt>
            <c:idx val="3"/>
            <c:bubble3D val="0"/>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ln>
              <a:effectLst/>
            </c:spPr>
            <c:extLst>
              <c:ext xmlns:c16="http://schemas.microsoft.com/office/drawing/2014/chart" uri="{C3380CC4-5D6E-409C-BE32-E72D297353CC}">
                <c16:uniqueId val="{00000007-783E-418C-8616-6462BE400CB2}"/>
              </c:ext>
            </c:extLst>
          </c:dPt>
          <c:dPt>
            <c:idx val="4"/>
            <c:bubble3D val="0"/>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extLst>
              <c:ext xmlns:c16="http://schemas.microsoft.com/office/drawing/2014/chart" uri="{C3380CC4-5D6E-409C-BE32-E72D297353CC}">
                <c16:uniqueId val="{00000009-783E-418C-8616-6462BE400CB2}"/>
              </c:ext>
            </c:extLst>
          </c:dPt>
          <c:dPt>
            <c:idx val="5"/>
            <c:bubble3D val="0"/>
            <c:spPr>
              <a:gradFill>
                <a:gsLst>
                  <a:gs pos="0">
                    <a:schemeClr val="accent6">
                      <a:shade val="51000"/>
                    </a:schemeClr>
                  </a:gs>
                  <a:gs pos="80000">
                    <a:schemeClr val="accent6">
                      <a:shade val="93000"/>
                    </a:schemeClr>
                  </a:gs>
                  <a:gs pos="100000">
                    <a:schemeClr val="accent6">
                      <a:shade val="94000"/>
                    </a:schemeClr>
                  </a:gs>
                </a:gsLst>
                <a:lin ang="16200000" scaled="0"/>
                <a:tileRect/>
              </a:gradFill>
              <a:ln>
                <a:noFill/>
              </a:ln>
              <a:effectLst/>
            </c:spPr>
            <c:extLst>
              <c:ext xmlns:c16="http://schemas.microsoft.com/office/drawing/2014/chart" uri="{C3380CC4-5D6E-409C-BE32-E72D297353CC}">
                <c16:uniqueId val="{0000000B-783E-418C-8616-6462BE400CB2}"/>
              </c:ext>
            </c:extLst>
          </c:dPt>
          <c:dPt>
            <c:idx val="6"/>
            <c:bubble3D val="0"/>
            <c:spPr>
              <a:gradFill>
                <a:gsLst>
                  <a:gs pos="0">
                    <a:schemeClr val="accent1">
                      <a:lumMod val="60000"/>
                      <a:shade val="51000"/>
                    </a:schemeClr>
                  </a:gs>
                  <a:gs pos="80000">
                    <a:schemeClr val="accent1">
                      <a:lumMod val="60000"/>
                      <a:shade val="93000"/>
                    </a:schemeClr>
                  </a:gs>
                  <a:gs pos="100000">
                    <a:schemeClr val="accent1">
                      <a:lumMod val="60000"/>
                      <a:shade val="94000"/>
                    </a:schemeClr>
                  </a:gs>
                </a:gsLst>
                <a:lin ang="16200000" scaled="0"/>
                <a:tileRect/>
              </a:gradFill>
              <a:ln>
                <a:noFill/>
              </a:ln>
              <a:effectLst/>
            </c:spPr>
            <c:extLst>
              <c:ext xmlns:c16="http://schemas.microsoft.com/office/drawing/2014/chart" uri="{C3380CC4-5D6E-409C-BE32-E72D297353CC}">
                <c16:uniqueId val="{0000000D-783E-418C-8616-6462BE400CB2}"/>
              </c:ext>
            </c:extLst>
          </c:dPt>
          <c:dPt>
            <c:idx val="7"/>
            <c:bubble3D val="0"/>
            <c:spPr>
              <a:gradFill>
                <a:gsLst>
                  <a:gs pos="0">
                    <a:schemeClr val="accent2">
                      <a:lumMod val="60000"/>
                      <a:shade val="51000"/>
                    </a:schemeClr>
                  </a:gs>
                  <a:gs pos="80000">
                    <a:schemeClr val="accent2">
                      <a:lumMod val="60000"/>
                      <a:shade val="93000"/>
                    </a:schemeClr>
                  </a:gs>
                  <a:gs pos="100000">
                    <a:schemeClr val="accent2">
                      <a:lumMod val="60000"/>
                      <a:shade val="94000"/>
                    </a:schemeClr>
                  </a:gs>
                </a:gsLst>
                <a:lin ang="16200000" scaled="0"/>
                <a:tileRect/>
              </a:gradFill>
              <a:ln>
                <a:noFill/>
              </a:ln>
              <a:effectLst/>
            </c:spPr>
            <c:extLst>
              <c:ext xmlns:c16="http://schemas.microsoft.com/office/drawing/2014/chart" uri="{C3380CC4-5D6E-409C-BE32-E72D297353CC}">
                <c16:uniqueId val="{0000000F-783E-418C-8616-6462BE400CB2}"/>
              </c:ext>
            </c:extLst>
          </c:dPt>
          <c:dPt>
            <c:idx val="8"/>
            <c:bubble3D val="0"/>
            <c:spPr>
              <a:gradFill>
                <a:gsLst>
                  <a:gs pos="0">
                    <a:schemeClr val="accent3">
                      <a:lumMod val="60000"/>
                      <a:shade val="51000"/>
                    </a:schemeClr>
                  </a:gs>
                  <a:gs pos="80000">
                    <a:schemeClr val="accent3">
                      <a:lumMod val="60000"/>
                      <a:shade val="93000"/>
                    </a:schemeClr>
                  </a:gs>
                  <a:gs pos="100000">
                    <a:schemeClr val="accent3">
                      <a:lumMod val="60000"/>
                      <a:shade val="94000"/>
                    </a:schemeClr>
                  </a:gs>
                </a:gsLst>
                <a:lin ang="16200000" scaled="0"/>
                <a:tileRect/>
              </a:gradFill>
              <a:ln>
                <a:noFill/>
              </a:ln>
              <a:effectLst/>
            </c:spPr>
            <c:extLst>
              <c:ext xmlns:c16="http://schemas.microsoft.com/office/drawing/2014/chart" uri="{C3380CC4-5D6E-409C-BE32-E72D297353CC}">
                <c16:uniqueId val="{00000011-783E-418C-8616-6462BE400CB2}"/>
              </c:ext>
            </c:extLst>
          </c:dPt>
          <c:dPt>
            <c:idx val="9"/>
            <c:bubble3D val="0"/>
            <c:spPr>
              <a:gradFill>
                <a:gsLst>
                  <a:gs pos="0">
                    <a:schemeClr val="accent4">
                      <a:lumMod val="60000"/>
                      <a:shade val="51000"/>
                    </a:schemeClr>
                  </a:gs>
                  <a:gs pos="80000">
                    <a:schemeClr val="accent4">
                      <a:lumMod val="60000"/>
                      <a:shade val="93000"/>
                    </a:schemeClr>
                  </a:gs>
                  <a:gs pos="100000">
                    <a:schemeClr val="accent4">
                      <a:lumMod val="60000"/>
                      <a:shade val="94000"/>
                    </a:schemeClr>
                  </a:gs>
                </a:gsLst>
                <a:lin ang="16200000" scaled="0"/>
                <a:tileRect/>
              </a:gradFill>
              <a:ln>
                <a:noFill/>
              </a:ln>
              <a:effectLst/>
            </c:spPr>
            <c:extLst>
              <c:ext xmlns:c16="http://schemas.microsoft.com/office/drawing/2014/chart" uri="{C3380CC4-5D6E-409C-BE32-E72D297353CC}">
                <c16:uniqueId val="{00000013-783E-418C-8616-6462BE400CB2}"/>
              </c:ext>
            </c:extLst>
          </c:dPt>
          <c:dPt>
            <c:idx val="10"/>
            <c:bubble3D val="0"/>
            <c:spPr>
              <a:gradFill>
                <a:gsLst>
                  <a:gs pos="0">
                    <a:schemeClr val="accent5">
                      <a:lumMod val="60000"/>
                      <a:shade val="51000"/>
                    </a:schemeClr>
                  </a:gs>
                  <a:gs pos="80000">
                    <a:schemeClr val="accent5">
                      <a:lumMod val="60000"/>
                      <a:shade val="93000"/>
                    </a:schemeClr>
                  </a:gs>
                  <a:gs pos="100000">
                    <a:schemeClr val="accent5">
                      <a:lumMod val="60000"/>
                      <a:shade val="94000"/>
                    </a:schemeClr>
                  </a:gs>
                </a:gsLst>
                <a:lin ang="16200000" scaled="0"/>
                <a:tileRect/>
              </a:gradFill>
              <a:ln>
                <a:noFill/>
              </a:ln>
              <a:effectLst/>
            </c:spPr>
            <c:extLst>
              <c:ext xmlns:c16="http://schemas.microsoft.com/office/drawing/2014/chart" uri="{C3380CC4-5D6E-409C-BE32-E72D297353CC}">
                <c16:uniqueId val="{00000015-783E-418C-8616-6462BE400C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ANALISIS!$J$34:$J$45</c:f>
              <c:strCache>
                <c:ptCount val="11"/>
                <c:pt idx="0">
                  <c:v>Nn</c:v>
                </c:pt>
                <c:pt idx="1">
                  <c:v>Denpasar</c:v>
                </c:pt>
                <c:pt idx="2">
                  <c:v>Malang</c:v>
                </c:pt>
                <c:pt idx="3">
                  <c:v>Bandung</c:v>
                </c:pt>
                <c:pt idx="4">
                  <c:v>Palembang</c:v>
                </c:pt>
                <c:pt idx="5">
                  <c:v>Yogyakarta</c:v>
                </c:pt>
                <c:pt idx="6">
                  <c:v>Semarang</c:v>
                </c:pt>
                <c:pt idx="7">
                  <c:v>Jakarta</c:v>
                </c:pt>
                <c:pt idx="8">
                  <c:v>Medan</c:v>
                </c:pt>
                <c:pt idx="9">
                  <c:v>Makassar</c:v>
                </c:pt>
                <c:pt idx="10">
                  <c:v>Surabaya</c:v>
                </c:pt>
              </c:strCache>
            </c:strRef>
          </c:cat>
          <c:val>
            <c:numRef>
              <c:f>ANALISIS!$K$34:$K$45</c:f>
              <c:numCache>
                <c:formatCode>\ \ \ "Rp"#,##0.0,,"Jt"</c:formatCode>
                <c:ptCount val="11"/>
                <c:pt idx="0">
                  <c:v>666333.33333333337</c:v>
                </c:pt>
                <c:pt idx="1">
                  <c:v>988176.4705882353</c:v>
                </c:pt>
                <c:pt idx="2">
                  <c:v>1079120</c:v>
                </c:pt>
                <c:pt idx="3">
                  <c:v>1118208.3333333333</c:v>
                </c:pt>
                <c:pt idx="4">
                  <c:v>1216176.4705882352</c:v>
                </c:pt>
                <c:pt idx="5">
                  <c:v>1324562.5</c:v>
                </c:pt>
                <c:pt idx="6">
                  <c:v>1328333.3333333333</c:v>
                </c:pt>
                <c:pt idx="7">
                  <c:v>1331368.4210526317</c:v>
                </c:pt>
                <c:pt idx="8">
                  <c:v>1386920</c:v>
                </c:pt>
                <c:pt idx="9">
                  <c:v>1411680</c:v>
                </c:pt>
                <c:pt idx="10">
                  <c:v>1592090.9090909092</c:v>
                </c:pt>
              </c:numCache>
            </c:numRef>
          </c:val>
          <c:extLst>
            <c:ext xmlns:c16="http://schemas.microsoft.com/office/drawing/2014/chart" uri="{C3380CC4-5D6E-409C-BE32-E72D297353CC}">
              <c16:uniqueId val="{00000000-2615-4D88-BCA5-CEB1573B89B8}"/>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[Hasil_Analisis.xlsx]ANALISIS!5_Produk_Terlaris</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5</a:t>
            </a:r>
            <a:r>
              <a:rPr lang="en-US" baseline="0"/>
              <a:t> Produk Terlaris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9"/>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9"/>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9"/>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3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3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3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3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3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3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3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3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3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39"/>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9"/>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5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5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5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5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5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5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s>
    <c:plotArea>
      <c:layout/>
      <c:pieChart>
        <c:varyColors val="1"/>
        <c:ser>
          <c:idx val="0"/>
          <c:order val="0"/>
          <c:tx>
            <c:strRef>
              <c:f>ANALISIS!$H$73</c:f>
              <c:strCache>
                <c:ptCount val="1"/>
                <c:pt idx="0">
                  <c:v>Total Penjualan</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01-7543-44AA-AD44-FC7B9581E4DC}"/>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03-7543-44AA-AD44-FC7B9581E4DC}"/>
              </c:ext>
            </c:extLst>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extLst>
              <c:ext xmlns:c16="http://schemas.microsoft.com/office/drawing/2014/chart" uri="{C3380CC4-5D6E-409C-BE32-E72D297353CC}">
                <c16:uniqueId val="{00000005-7543-44AA-AD44-FC7B9581E4DC}"/>
              </c:ext>
            </c:extLst>
          </c:dPt>
          <c:dPt>
            <c:idx val="3"/>
            <c:bubble3D val="0"/>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ln>
              <a:effectLst/>
            </c:spPr>
            <c:extLst>
              <c:ext xmlns:c16="http://schemas.microsoft.com/office/drawing/2014/chart" uri="{C3380CC4-5D6E-409C-BE32-E72D297353CC}">
                <c16:uniqueId val="{00000007-7543-44AA-AD44-FC7B9581E4DC}"/>
              </c:ext>
            </c:extLst>
          </c:dPt>
          <c:dPt>
            <c:idx val="4"/>
            <c:bubble3D val="0"/>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extLst>
              <c:ext xmlns:c16="http://schemas.microsoft.com/office/drawing/2014/chart" uri="{C3380CC4-5D6E-409C-BE32-E72D297353CC}">
                <c16:uniqueId val="{00000009-7543-44AA-AD44-FC7B9581E4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ANALISIS!$G$74:$G$79</c:f>
              <c:strCache>
                <c:ptCount val="5"/>
                <c:pt idx="0">
                  <c:v>Mouse Wireless</c:v>
                </c:pt>
                <c:pt idx="1">
                  <c:v>Celana Jeans</c:v>
                </c:pt>
                <c:pt idx="2">
                  <c:v>Kaos Polos</c:v>
                </c:pt>
                <c:pt idx="3">
                  <c:v>Kemeja Flanel</c:v>
                </c:pt>
                <c:pt idx="4">
                  <c:v>Jaket Hoodie</c:v>
                </c:pt>
              </c:strCache>
            </c:strRef>
          </c:cat>
          <c:val>
            <c:numRef>
              <c:f>ANALISIS!$H$74:$H$79</c:f>
              <c:numCache>
                <c:formatCode>"Rp"#,##0</c:formatCode>
                <c:ptCount val="5"/>
                <c:pt idx="0">
                  <c:v>28825000</c:v>
                </c:pt>
                <c:pt idx="1">
                  <c:v>19709000</c:v>
                </c:pt>
                <c:pt idx="2">
                  <c:v>18355000</c:v>
                </c:pt>
                <c:pt idx="3">
                  <c:v>17702000</c:v>
                </c:pt>
                <c:pt idx="4">
                  <c:v>16739000</c:v>
                </c:pt>
              </c:numCache>
            </c:numRef>
          </c:val>
          <c:extLst>
            <c:ext xmlns:c16="http://schemas.microsoft.com/office/drawing/2014/chart" uri="{C3380CC4-5D6E-409C-BE32-E72D297353CC}">
              <c16:uniqueId val="{00000000-7E45-4D6F-8AD1-E561662E5E04}"/>
            </c:ext>
          </c:extLst>
        </c:ser>
        <c:ser>
          <c:idx val="1"/>
          <c:order val="1"/>
          <c:tx>
            <c:strRef>
              <c:f>ANALISIS!$I$73</c:f>
              <c:strCache>
                <c:ptCount val="1"/>
                <c:pt idx="0">
                  <c:v>Kontribusi</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0B-7543-44AA-AD44-FC7B9581E4DC}"/>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0D-7543-44AA-AD44-FC7B9581E4DC}"/>
              </c:ext>
            </c:extLst>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extLst>
              <c:ext xmlns:c16="http://schemas.microsoft.com/office/drawing/2014/chart" uri="{C3380CC4-5D6E-409C-BE32-E72D297353CC}">
                <c16:uniqueId val="{0000000F-7543-44AA-AD44-FC7B9581E4DC}"/>
              </c:ext>
            </c:extLst>
          </c:dPt>
          <c:dPt>
            <c:idx val="3"/>
            <c:bubble3D val="0"/>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ln>
              <a:effectLst/>
            </c:spPr>
            <c:extLst>
              <c:ext xmlns:c16="http://schemas.microsoft.com/office/drawing/2014/chart" uri="{C3380CC4-5D6E-409C-BE32-E72D297353CC}">
                <c16:uniqueId val="{00000011-7543-44AA-AD44-FC7B9581E4DC}"/>
              </c:ext>
            </c:extLst>
          </c:dPt>
          <c:dPt>
            <c:idx val="4"/>
            <c:bubble3D val="0"/>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extLst>
              <c:ext xmlns:c16="http://schemas.microsoft.com/office/drawing/2014/chart" uri="{C3380CC4-5D6E-409C-BE32-E72D297353CC}">
                <c16:uniqueId val="{00000013-7543-44AA-AD44-FC7B9581E4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ANALISIS!$G$74:$G$79</c:f>
              <c:strCache>
                <c:ptCount val="5"/>
                <c:pt idx="0">
                  <c:v>Mouse Wireless</c:v>
                </c:pt>
                <c:pt idx="1">
                  <c:v>Celana Jeans</c:v>
                </c:pt>
                <c:pt idx="2">
                  <c:v>Kaos Polos</c:v>
                </c:pt>
                <c:pt idx="3">
                  <c:v>Kemeja Flanel</c:v>
                </c:pt>
                <c:pt idx="4">
                  <c:v>Jaket Hoodie</c:v>
                </c:pt>
              </c:strCache>
            </c:strRef>
          </c:cat>
          <c:val>
            <c:numRef>
              <c:f>ANALISIS!$I$74:$I$79</c:f>
              <c:numCache>
                <c:formatCode>0.00%</c:formatCode>
                <c:ptCount val="5"/>
                <c:pt idx="0">
                  <c:v>0.28446659429586502</c:v>
                </c:pt>
                <c:pt idx="1">
                  <c:v>0.19450310865488996</c:v>
                </c:pt>
                <c:pt idx="2">
                  <c:v>0.18114082700088818</c:v>
                </c:pt>
                <c:pt idx="3">
                  <c:v>0.17469653607026547</c:v>
                </c:pt>
                <c:pt idx="4">
                  <c:v>0.16519293397809137</c:v>
                </c:pt>
              </c:numCache>
            </c:numRef>
          </c:val>
          <c:extLst>
            <c:ext xmlns:c16="http://schemas.microsoft.com/office/drawing/2014/chart" uri="{C3380CC4-5D6E-409C-BE32-E72D297353CC}">
              <c16:uniqueId val="{00000001-7E45-4D6F-8AD1-E561662E5E04}"/>
            </c:ext>
          </c:extLst>
        </c:ser>
        <c:ser>
          <c:idx val="2"/>
          <c:order val="2"/>
          <c:tx>
            <c:strRef>
              <c:f>ANALISIS!$J$73</c:f>
              <c:strCache>
                <c:ptCount val="1"/>
                <c:pt idx="0">
                  <c:v>Jumlah terjual</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15-7543-44AA-AD44-FC7B9581E4DC}"/>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17-7543-44AA-AD44-FC7B9581E4DC}"/>
              </c:ext>
            </c:extLst>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extLst>
              <c:ext xmlns:c16="http://schemas.microsoft.com/office/drawing/2014/chart" uri="{C3380CC4-5D6E-409C-BE32-E72D297353CC}">
                <c16:uniqueId val="{00000019-7543-44AA-AD44-FC7B9581E4DC}"/>
              </c:ext>
            </c:extLst>
          </c:dPt>
          <c:dPt>
            <c:idx val="3"/>
            <c:bubble3D val="0"/>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ln>
              <a:effectLst/>
            </c:spPr>
            <c:extLst>
              <c:ext xmlns:c16="http://schemas.microsoft.com/office/drawing/2014/chart" uri="{C3380CC4-5D6E-409C-BE32-E72D297353CC}">
                <c16:uniqueId val="{0000001B-7543-44AA-AD44-FC7B9581E4DC}"/>
              </c:ext>
            </c:extLst>
          </c:dPt>
          <c:dPt>
            <c:idx val="4"/>
            <c:bubble3D val="0"/>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extLst>
              <c:ext xmlns:c16="http://schemas.microsoft.com/office/drawing/2014/chart" uri="{C3380CC4-5D6E-409C-BE32-E72D297353CC}">
                <c16:uniqueId val="{0000001D-7543-44AA-AD44-FC7B9581E4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ANALISIS!$G$74:$G$79</c:f>
              <c:strCache>
                <c:ptCount val="5"/>
                <c:pt idx="0">
                  <c:v>Mouse Wireless</c:v>
                </c:pt>
                <c:pt idx="1">
                  <c:v>Celana Jeans</c:v>
                </c:pt>
                <c:pt idx="2">
                  <c:v>Kaos Polos</c:v>
                </c:pt>
                <c:pt idx="3">
                  <c:v>Kemeja Flanel</c:v>
                </c:pt>
                <c:pt idx="4">
                  <c:v>Jaket Hoodie</c:v>
                </c:pt>
              </c:strCache>
            </c:strRef>
          </c:cat>
          <c:val>
            <c:numRef>
              <c:f>ANALISIS!$J$74:$J$79</c:f>
              <c:numCache>
                <c:formatCode>General</c:formatCode>
                <c:ptCount val="5"/>
                <c:pt idx="0">
                  <c:v>175</c:v>
                </c:pt>
                <c:pt idx="1">
                  <c:v>146</c:v>
                </c:pt>
                <c:pt idx="2">
                  <c:v>158</c:v>
                </c:pt>
                <c:pt idx="3">
                  <c:v>184</c:v>
                </c:pt>
                <c:pt idx="4">
                  <c:v>161</c:v>
                </c:pt>
              </c:numCache>
            </c:numRef>
          </c:val>
          <c:extLst>
            <c:ext xmlns:c16="http://schemas.microsoft.com/office/drawing/2014/chart" uri="{C3380CC4-5D6E-409C-BE32-E72D297353CC}">
              <c16:uniqueId val="{00000002-7E45-4D6F-8AD1-E561662E5E04}"/>
            </c:ext>
          </c:extLst>
        </c:ser>
        <c:ser>
          <c:idx val="3"/>
          <c:order val="3"/>
          <c:tx>
            <c:strRef>
              <c:f>ANALISIS!$K$73</c:f>
              <c:strCache>
                <c:ptCount val="1"/>
                <c:pt idx="0">
                  <c:v>Jumlah Transaksi</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1F-7543-44AA-AD44-FC7B9581E4DC}"/>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21-7543-44AA-AD44-FC7B9581E4DC}"/>
              </c:ext>
            </c:extLst>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extLst>
              <c:ext xmlns:c16="http://schemas.microsoft.com/office/drawing/2014/chart" uri="{C3380CC4-5D6E-409C-BE32-E72D297353CC}">
                <c16:uniqueId val="{00000023-7543-44AA-AD44-FC7B9581E4DC}"/>
              </c:ext>
            </c:extLst>
          </c:dPt>
          <c:dPt>
            <c:idx val="3"/>
            <c:bubble3D val="0"/>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ln>
              <a:effectLst/>
            </c:spPr>
            <c:extLst>
              <c:ext xmlns:c16="http://schemas.microsoft.com/office/drawing/2014/chart" uri="{C3380CC4-5D6E-409C-BE32-E72D297353CC}">
                <c16:uniqueId val="{00000025-7543-44AA-AD44-FC7B9581E4DC}"/>
              </c:ext>
            </c:extLst>
          </c:dPt>
          <c:dPt>
            <c:idx val="4"/>
            <c:bubble3D val="0"/>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extLst>
              <c:ext xmlns:c16="http://schemas.microsoft.com/office/drawing/2014/chart" uri="{C3380CC4-5D6E-409C-BE32-E72D297353CC}">
                <c16:uniqueId val="{00000027-7543-44AA-AD44-FC7B9581E4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ANALISIS!$G$74:$G$79</c:f>
              <c:strCache>
                <c:ptCount val="5"/>
                <c:pt idx="0">
                  <c:v>Mouse Wireless</c:v>
                </c:pt>
                <c:pt idx="1">
                  <c:v>Celana Jeans</c:v>
                </c:pt>
                <c:pt idx="2">
                  <c:v>Kaos Polos</c:v>
                </c:pt>
                <c:pt idx="3">
                  <c:v>Kemeja Flanel</c:v>
                </c:pt>
                <c:pt idx="4">
                  <c:v>Jaket Hoodie</c:v>
                </c:pt>
              </c:strCache>
            </c:strRef>
          </c:cat>
          <c:val>
            <c:numRef>
              <c:f>ANALISIS!$K$74:$K$79</c:f>
              <c:numCache>
                <c:formatCode>General</c:formatCode>
                <c:ptCount val="5"/>
                <c:pt idx="0">
                  <c:v>12</c:v>
                </c:pt>
                <c:pt idx="1">
                  <c:v>11</c:v>
                </c:pt>
                <c:pt idx="2">
                  <c:v>11</c:v>
                </c:pt>
                <c:pt idx="3">
                  <c:v>11</c:v>
                </c:pt>
                <c:pt idx="4">
                  <c:v>12</c:v>
                </c:pt>
              </c:numCache>
            </c:numRef>
          </c:val>
          <c:extLst>
            <c:ext xmlns:c16="http://schemas.microsoft.com/office/drawing/2014/chart" uri="{C3380CC4-5D6E-409C-BE32-E72D297353CC}">
              <c16:uniqueId val="{00000003-7E45-4D6F-8AD1-E561662E5E04}"/>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[Hasil_Analisis.xlsx]ANALISIS!5_Produk_Terendah</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5</a:t>
            </a:r>
            <a:r>
              <a:rPr lang="en-US" baseline="0"/>
              <a:t> Produk Penjualan Terendah</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9"/>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9"/>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9"/>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3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3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3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3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3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3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3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3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3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39"/>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9"/>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5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5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s>
    <c:plotArea>
      <c:layout/>
      <c:pieChart>
        <c:varyColors val="1"/>
        <c:ser>
          <c:idx val="0"/>
          <c:order val="0"/>
          <c:tx>
            <c:strRef>
              <c:f>ANALISIS!$N$73</c:f>
              <c:strCache>
                <c:ptCount val="1"/>
                <c:pt idx="0">
                  <c:v>Total Penjualan</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01-CF97-4F4E-9884-DCBFCDBF6906}"/>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03-CF97-4F4E-9884-DCBFCDBF6906}"/>
              </c:ext>
            </c:extLst>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extLst>
              <c:ext xmlns:c16="http://schemas.microsoft.com/office/drawing/2014/chart" uri="{C3380CC4-5D6E-409C-BE32-E72D297353CC}">
                <c16:uniqueId val="{00000005-CF97-4F4E-9884-DCBFCDBF6906}"/>
              </c:ext>
            </c:extLst>
          </c:dPt>
          <c:dPt>
            <c:idx val="3"/>
            <c:bubble3D val="0"/>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ln>
              <a:effectLst/>
            </c:spPr>
            <c:extLst>
              <c:ext xmlns:c16="http://schemas.microsoft.com/office/drawing/2014/chart" uri="{C3380CC4-5D6E-409C-BE32-E72D297353CC}">
                <c16:uniqueId val="{00000007-CF97-4F4E-9884-DCBFCDBF6906}"/>
              </c:ext>
            </c:extLst>
          </c:dPt>
          <c:dPt>
            <c:idx val="4"/>
            <c:bubble3D val="0"/>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extLst>
              <c:ext xmlns:c16="http://schemas.microsoft.com/office/drawing/2014/chart" uri="{C3380CC4-5D6E-409C-BE32-E72D297353CC}">
                <c16:uniqueId val="{00000009-CF97-4F4E-9884-DCBFCDBF69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ANALISIS!$M$74:$M$79</c:f>
              <c:strCache>
                <c:ptCount val="5"/>
                <c:pt idx="0">
                  <c:v>Kotak Penyimpanan</c:v>
                </c:pt>
                <c:pt idx="1">
                  <c:v>Earphone Bluetooth</c:v>
                </c:pt>
                <c:pt idx="2">
                  <c:v>Rak Sepatu Lipat</c:v>
                </c:pt>
                <c:pt idx="3">
                  <c:v>Kabel Data USB-C</c:v>
                </c:pt>
                <c:pt idx="4">
                  <c:v>Sapu Lidi</c:v>
                </c:pt>
              </c:strCache>
            </c:strRef>
          </c:cat>
          <c:val>
            <c:numRef>
              <c:f>ANALISIS!$N$74:$N$79</c:f>
              <c:numCache>
                <c:formatCode>"Rp"#,##0</c:formatCode>
                <c:ptCount val="5"/>
                <c:pt idx="0">
                  <c:v>6630000</c:v>
                </c:pt>
                <c:pt idx="1">
                  <c:v>6408000</c:v>
                </c:pt>
                <c:pt idx="2">
                  <c:v>5660000</c:v>
                </c:pt>
                <c:pt idx="3">
                  <c:v>4178000</c:v>
                </c:pt>
                <c:pt idx="4">
                  <c:v>4134000</c:v>
                </c:pt>
              </c:numCache>
            </c:numRef>
          </c:val>
          <c:extLst>
            <c:ext xmlns:c16="http://schemas.microsoft.com/office/drawing/2014/chart" uri="{C3380CC4-5D6E-409C-BE32-E72D297353CC}">
              <c16:uniqueId val="{00000000-F322-4F64-948C-10593347CA39}"/>
            </c:ext>
          </c:extLst>
        </c:ser>
        <c:ser>
          <c:idx val="1"/>
          <c:order val="1"/>
          <c:tx>
            <c:strRef>
              <c:f>ANALISIS!$O$73</c:f>
              <c:strCache>
                <c:ptCount val="1"/>
                <c:pt idx="0">
                  <c:v>Kontribusi</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0B-CF97-4F4E-9884-DCBFCDBF6906}"/>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0D-CF97-4F4E-9884-DCBFCDBF6906}"/>
              </c:ext>
            </c:extLst>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extLst>
              <c:ext xmlns:c16="http://schemas.microsoft.com/office/drawing/2014/chart" uri="{C3380CC4-5D6E-409C-BE32-E72D297353CC}">
                <c16:uniqueId val="{0000000F-CF97-4F4E-9884-DCBFCDBF6906}"/>
              </c:ext>
            </c:extLst>
          </c:dPt>
          <c:dPt>
            <c:idx val="3"/>
            <c:bubble3D val="0"/>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ln>
              <a:effectLst/>
            </c:spPr>
            <c:extLst>
              <c:ext xmlns:c16="http://schemas.microsoft.com/office/drawing/2014/chart" uri="{C3380CC4-5D6E-409C-BE32-E72D297353CC}">
                <c16:uniqueId val="{00000011-CF97-4F4E-9884-DCBFCDBF6906}"/>
              </c:ext>
            </c:extLst>
          </c:dPt>
          <c:dPt>
            <c:idx val="4"/>
            <c:bubble3D val="0"/>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extLst>
              <c:ext xmlns:c16="http://schemas.microsoft.com/office/drawing/2014/chart" uri="{C3380CC4-5D6E-409C-BE32-E72D297353CC}">
                <c16:uniqueId val="{00000013-CF97-4F4E-9884-DCBFCDBF69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ANALISIS!$M$74:$M$79</c:f>
              <c:strCache>
                <c:ptCount val="5"/>
                <c:pt idx="0">
                  <c:v>Kotak Penyimpanan</c:v>
                </c:pt>
                <c:pt idx="1">
                  <c:v>Earphone Bluetooth</c:v>
                </c:pt>
                <c:pt idx="2">
                  <c:v>Rak Sepatu Lipat</c:v>
                </c:pt>
                <c:pt idx="3">
                  <c:v>Kabel Data USB-C</c:v>
                </c:pt>
                <c:pt idx="4">
                  <c:v>Sapu Lidi</c:v>
                </c:pt>
              </c:strCache>
            </c:strRef>
          </c:cat>
          <c:val>
            <c:numRef>
              <c:f>ANALISIS!$O$74:$O$79</c:f>
              <c:numCache>
                <c:formatCode>0.00%</c:formatCode>
                <c:ptCount val="5"/>
                <c:pt idx="0">
                  <c:v>0.24546464272491669</c:v>
                </c:pt>
                <c:pt idx="1">
                  <c:v>0.23724546464272492</c:v>
                </c:pt>
                <c:pt idx="2">
                  <c:v>0.20955201777119586</c:v>
                </c:pt>
                <c:pt idx="3">
                  <c:v>0.15468345057386154</c:v>
                </c:pt>
                <c:pt idx="4">
                  <c:v>0.15305442428730101</c:v>
                </c:pt>
              </c:numCache>
            </c:numRef>
          </c:val>
          <c:extLst>
            <c:ext xmlns:c16="http://schemas.microsoft.com/office/drawing/2014/chart" uri="{C3380CC4-5D6E-409C-BE32-E72D297353CC}">
              <c16:uniqueId val="{00000001-F322-4F64-948C-10593347CA39}"/>
            </c:ext>
          </c:extLst>
        </c:ser>
        <c:ser>
          <c:idx val="2"/>
          <c:order val="2"/>
          <c:tx>
            <c:strRef>
              <c:f>ANALISIS!$P$73</c:f>
              <c:strCache>
                <c:ptCount val="1"/>
                <c:pt idx="0">
                  <c:v>Jumlah terjual</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15-CF97-4F4E-9884-DCBFCDBF6906}"/>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17-CF97-4F4E-9884-DCBFCDBF6906}"/>
              </c:ext>
            </c:extLst>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extLst>
              <c:ext xmlns:c16="http://schemas.microsoft.com/office/drawing/2014/chart" uri="{C3380CC4-5D6E-409C-BE32-E72D297353CC}">
                <c16:uniqueId val="{00000019-CF97-4F4E-9884-DCBFCDBF6906}"/>
              </c:ext>
            </c:extLst>
          </c:dPt>
          <c:dPt>
            <c:idx val="3"/>
            <c:bubble3D val="0"/>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ln>
              <a:effectLst/>
            </c:spPr>
            <c:extLst>
              <c:ext xmlns:c16="http://schemas.microsoft.com/office/drawing/2014/chart" uri="{C3380CC4-5D6E-409C-BE32-E72D297353CC}">
                <c16:uniqueId val="{0000001B-CF97-4F4E-9884-DCBFCDBF6906}"/>
              </c:ext>
            </c:extLst>
          </c:dPt>
          <c:dPt>
            <c:idx val="4"/>
            <c:bubble3D val="0"/>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extLst>
              <c:ext xmlns:c16="http://schemas.microsoft.com/office/drawing/2014/chart" uri="{C3380CC4-5D6E-409C-BE32-E72D297353CC}">
                <c16:uniqueId val="{0000001D-CF97-4F4E-9884-DCBFCDBF69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ANALISIS!$M$74:$M$79</c:f>
              <c:strCache>
                <c:ptCount val="5"/>
                <c:pt idx="0">
                  <c:v>Kotak Penyimpanan</c:v>
                </c:pt>
                <c:pt idx="1">
                  <c:v>Earphone Bluetooth</c:v>
                </c:pt>
                <c:pt idx="2">
                  <c:v>Rak Sepatu Lipat</c:v>
                </c:pt>
                <c:pt idx="3">
                  <c:v>Kabel Data USB-C</c:v>
                </c:pt>
                <c:pt idx="4">
                  <c:v>Sapu Lidi</c:v>
                </c:pt>
              </c:strCache>
            </c:strRef>
          </c:cat>
          <c:val>
            <c:numRef>
              <c:f>ANALISIS!$P$74:$P$79</c:f>
              <c:numCache>
                <c:formatCode>General</c:formatCode>
                <c:ptCount val="5"/>
                <c:pt idx="0">
                  <c:v>153</c:v>
                </c:pt>
                <c:pt idx="1">
                  <c:v>42</c:v>
                </c:pt>
                <c:pt idx="2">
                  <c:v>79</c:v>
                </c:pt>
                <c:pt idx="3">
                  <c:v>47</c:v>
                </c:pt>
                <c:pt idx="4">
                  <c:v>75</c:v>
                </c:pt>
              </c:numCache>
            </c:numRef>
          </c:val>
          <c:extLst>
            <c:ext xmlns:c16="http://schemas.microsoft.com/office/drawing/2014/chart" uri="{C3380CC4-5D6E-409C-BE32-E72D297353CC}">
              <c16:uniqueId val="{00000002-F322-4F64-948C-10593347CA39}"/>
            </c:ext>
          </c:extLst>
        </c:ser>
        <c:ser>
          <c:idx val="3"/>
          <c:order val="3"/>
          <c:tx>
            <c:strRef>
              <c:f>ANALISIS!$Q$73</c:f>
              <c:strCache>
                <c:ptCount val="1"/>
                <c:pt idx="0">
                  <c:v>Jumlah Transaksi</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1F-CF97-4F4E-9884-DCBFCDBF6906}"/>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21-CF97-4F4E-9884-DCBFCDBF6906}"/>
              </c:ext>
            </c:extLst>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extLst>
              <c:ext xmlns:c16="http://schemas.microsoft.com/office/drawing/2014/chart" uri="{C3380CC4-5D6E-409C-BE32-E72D297353CC}">
                <c16:uniqueId val="{00000023-CF97-4F4E-9884-DCBFCDBF6906}"/>
              </c:ext>
            </c:extLst>
          </c:dPt>
          <c:dPt>
            <c:idx val="3"/>
            <c:bubble3D val="0"/>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ln>
              <a:effectLst/>
            </c:spPr>
            <c:extLst>
              <c:ext xmlns:c16="http://schemas.microsoft.com/office/drawing/2014/chart" uri="{C3380CC4-5D6E-409C-BE32-E72D297353CC}">
                <c16:uniqueId val="{00000025-CF97-4F4E-9884-DCBFCDBF6906}"/>
              </c:ext>
            </c:extLst>
          </c:dPt>
          <c:dPt>
            <c:idx val="4"/>
            <c:bubble3D val="0"/>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extLst>
              <c:ext xmlns:c16="http://schemas.microsoft.com/office/drawing/2014/chart" uri="{C3380CC4-5D6E-409C-BE32-E72D297353CC}">
                <c16:uniqueId val="{00000027-CF97-4F4E-9884-DCBFCDBF69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ANALISIS!$M$74:$M$79</c:f>
              <c:strCache>
                <c:ptCount val="5"/>
                <c:pt idx="0">
                  <c:v>Kotak Penyimpanan</c:v>
                </c:pt>
                <c:pt idx="1">
                  <c:v>Earphone Bluetooth</c:v>
                </c:pt>
                <c:pt idx="2">
                  <c:v>Rak Sepatu Lipat</c:v>
                </c:pt>
                <c:pt idx="3">
                  <c:v>Kabel Data USB-C</c:v>
                </c:pt>
                <c:pt idx="4">
                  <c:v>Sapu Lidi</c:v>
                </c:pt>
              </c:strCache>
            </c:strRef>
          </c:cat>
          <c:val>
            <c:numRef>
              <c:f>ANALISIS!$Q$74:$Q$79</c:f>
              <c:numCache>
                <c:formatCode>General</c:formatCode>
                <c:ptCount val="5"/>
                <c:pt idx="0">
                  <c:v>11</c:v>
                </c:pt>
                <c:pt idx="1">
                  <c:v>3</c:v>
                </c:pt>
                <c:pt idx="2">
                  <c:v>6</c:v>
                </c:pt>
                <c:pt idx="3">
                  <c:v>5</c:v>
                </c:pt>
                <c:pt idx="4">
                  <c:v>6</c:v>
                </c:pt>
              </c:numCache>
            </c:numRef>
          </c:val>
          <c:extLst>
            <c:ext xmlns:c16="http://schemas.microsoft.com/office/drawing/2014/chart" uri="{C3380CC4-5D6E-409C-BE32-E72D297353CC}">
              <c16:uniqueId val="{00000003-F322-4F64-948C-10593347CA39}"/>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[Hasil_Analisis.xlsx]ANALISIS!Tren_Analisis</c:name>
    <c:fmtId val="49"/>
  </c:pivotSource>
  <c:chart>
    <c:autoTitleDeleted val="0"/>
    <c:pivotFmts>
      <c:pivotFmt>
        <c:idx val="0"/>
        <c:spPr>
          <a:ln w="34925" cap="rnd">
            <a:solidFill>
              <a:schemeClr val="accent1"/>
            </a:solidFill>
            <a:round/>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c:spPr>
        <c:marker>
          <c:symbol val="circle"/>
          <c:size val="6"/>
          <c:spPr>
            <a:gradFill>
              <a:gsLst>
                <a:gs pos="0">
                  <a:schemeClr val="accent2">
                    <a:shade val="51000"/>
                  </a:schemeClr>
                </a:gs>
                <a:gs pos="80000">
                  <a:schemeClr val="accent2">
                    <a:shade val="93000"/>
                  </a:schemeClr>
                </a:gs>
                <a:gs pos="100000">
                  <a:schemeClr val="accent2">
                    <a:shade val="94000"/>
                  </a:schemeClr>
                </a:gs>
              </a:gsLst>
              <a:lin ang="16200000" scaled="0"/>
              <a:tileRect/>
            </a:gra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ANALISIS!$B$5</c:f>
              <c:strCache>
                <c:ptCount val="1"/>
                <c:pt idx="0">
                  <c:v>Sum of Total_Penjualan</c:v>
                </c:pt>
              </c:strCache>
            </c:strRef>
          </c:tx>
          <c:spPr>
            <a:ln w="34925" cap="rnd">
              <a:solidFill>
                <a:schemeClr val="accent1"/>
              </a:solidFill>
              <a:round/>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cat>
            <c:strRef>
              <c:f>ANALISIS!$A$6:$A$18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ANALISIS!$B$6:$B$18</c:f>
              <c:numCache>
                <c:formatCode>\ \ \ "Rp"#,##0.0,,"Jt"</c:formatCode>
                <c:ptCount val="12"/>
                <c:pt idx="0">
                  <c:v>28814000</c:v>
                </c:pt>
                <c:pt idx="1">
                  <c:v>26034000</c:v>
                </c:pt>
                <c:pt idx="2">
                  <c:v>21792000</c:v>
                </c:pt>
                <c:pt idx="3">
                  <c:v>14459000</c:v>
                </c:pt>
                <c:pt idx="4">
                  <c:v>15089000</c:v>
                </c:pt>
                <c:pt idx="5">
                  <c:v>17172000</c:v>
                </c:pt>
                <c:pt idx="6">
                  <c:v>13325000</c:v>
                </c:pt>
                <c:pt idx="7">
                  <c:v>32323000</c:v>
                </c:pt>
                <c:pt idx="8">
                  <c:v>15606000</c:v>
                </c:pt>
                <c:pt idx="9">
                  <c:v>36743000</c:v>
                </c:pt>
                <c:pt idx="10">
                  <c:v>30133000</c:v>
                </c:pt>
                <c:pt idx="11">
                  <c:v>29143000</c:v>
                </c:pt>
              </c:numCache>
            </c:numRef>
          </c:val>
          <c:smooth val="0"/>
          <c:extLst>
            <c:ext xmlns:c16="http://schemas.microsoft.com/office/drawing/2014/chart" uri="{C3380CC4-5D6E-409C-BE32-E72D297353CC}">
              <c16:uniqueId val="{00000000-494E-40E6-BFAF-9DB7ABCC74FE}"/>
            </c:ext>
          </c:extLst>
        </c:ser>
        <c:ser>
          <c:idx val="1"/>
          <c:order val="1"/>
          <c:tx>
            <c:strRef>
              <c:f>ANALISIS!$C$5</c:f>
              <c:strCache>
                <c:ptCount val="1"/>
                <c:pt idx="0">
                  <c:v>Count of Jumlah</c:v>
                </c:pt>
              </c:strCache>
            </c:strRef>
          </c:tx>
          <c:spPr>
            <a:ln w="34925" cap="rnd">
              <a:solidFill>
                <a:schemeClr val="accent2"/>
              </a:solidFill>
              <a:round/>
            </a:ln>
            <a:effectLst/>
          </c:spPr>
          <c:marker>
            <c:symbol val="circle"/>
            <c:size val="6"/>
            <c:spPr>
              <a:gradFill>
                <a:gsLst>
                  <a:gs pos="0">
                    <a:schemeClr val="accent2">
                      <a:shade val="51000"/>
                    </a:schemeClr>
                  </a:gs>
                  <a:gs pos="80000">
                    <a:schemeClr val="accent2">
                      <a:shade val="93000"/>
                    </a:schemeClr>
                  </a:gs>
                  <a:gs pos="100000">
                    <a:schemeClr val="accent2">
                      <a:shade val="94000"/>
                    </a:schemeClr>
                  </a:gs>
                </a:gsLst>
                <a:lin ang="16200000" scaled="0"/>
                <a:tileRect/>
              </a:gradFill>
              <a:ln w="9525">
                <a:solidFill>
                  <a:schemeClr val="accent2"/>
                </a:solidFill>
                <a:round/>
              </a:ln>
              <a:effectLst/>
            </c:spPr>
          </c:marker>
          <c:cat>
            <c:strRef>
              <c:f>ANALISIS!$A$6:$A$18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ANALISIS!$C$6:$C$18</c:f>
              <c:numCache>
                <c:formatCode>General</c:formatCode>
                <c:ptCount val="12"/>
                <c:pt idx="0">
                  <c:v>20</c:v>
                </c:pt>
                <c:pt idx="1">
                  <c:v>20</c:v>
                </c:pt>
                <c:pt idx="2">
                  <c:v>11</c:v>
                </c:pt>
                <c:pt idx="3">
                  <c:v>10</c:v>
                </c:pt>
                <c:pt idx="4">
                  <c:v>13</c:v>
                </c:pt>
                <c:pt idx="5">
                  <c:v>17</c:v>
                </c:pt>
                <c:pt idx="6">
                  <c:v>14</c:v>
                </c:pt>
                <c:pt idx="7">
                  <c:v>26</c:v>
                </c:pt>
                <c:pt idx="8">
                  <c:v>15</c:v>
                </c:pt>
                <c:pt idx="9">
                  <c:v>26</c:v>
                </c:pt>
                <c:pt idx="10">
                  <c:v>22</c:v>
                </c:pt>
                <c:pt idx="11">
                  <c:v>26</c:v>
                </c:pt>
              </c:numCache>
            </c:numRef>
          </c:val>
          <c:smooth val="0"/>
          <c:extLst>
            <c:ext xmlns:c16="http://schemas.microsoft.com/office/drawing/2014/chart" uri="{C3380CC4-5D6E-409C-BE32-E72D297353CC}">
              <c16:uniqueId val="{00000001-494E-40E6-BFAF-9DB7ABCC74FE}"/>
            </c:ext>
          </c:extLst>
        </c:ser>
        <c:dLbls>
          <c:showLegendKey val="0"/>
          <c:showVal val="0"/>
          <c:showCatName val="0"/>
          <c:showSerName val="0"/>
          <c:showPercent val="0"/>
          <c:showBubbleSize val="0"/>
        </c:dLbls>
        <c:marker val="1"/>
        <c:smooth val="0"/>
        <c:axId val="1627269280"/>
        <c:axId val="1627265120"/>
      </c:lineChart>
      <c:catAx>
        <c:axId val="16272692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265120"/>
        <c:crosses val="autoZero"/>
        <c:auto val="1"/>
        <c:lblAlgn val="ctr"/>
        <c:lblOffset val="100"/>
        <c:noMultiLvlLbl val="0"/>
      </c:catAx>
      <c:valAx>
        <c:axId val="1627265120"/>
        <c:scaling>
          <c:orientation val="minMax"/>
        </c:scaling>
        <c:delete val="0"/>
        <c:axPos val="l"/>
        <c:majorGridlines>
          <c:spPr>
            <a:ln w="9525" cap="flat" cmpd="sng" algn="ctr">
              <a:solidFill>
                <a:schemeClr val="lt1">
                  <a:lumMod val="95000"/>
                  <a:alpha val="10000"/>
                </a:schemeClr>
              </a:solidFill>
              <a:round/>
            </a:ln>
            <a:effectLst/>
          </c:spPr>
        </c:majorGridlines>
        <c:numFmt formatCode="\ \ \ &quot;Rp&quot;#,##0.0,,&quot;J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26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[Hasil_Analisis.xlsx]ANALISIS!Tren_Analisis</c:name>
    <c:fmtId val="4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ysClr val="windowText" lastClr="000000"/>
                </a:solidFill>
              </a:rPr>
              <a:t>Tren Bulanan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ANALISIS!$B$5</c:f>
              <c:strCache>
                <c:ptCount val="1"/>
                <c:pt idx="0">
                  <c:v>Sum of Total_Penjualan</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ANALISIS!$A$6:$A$18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ANALISIS!$B$6:$B$18</c:f>
              <c:numCache>
                <c:formatCode>\ \ \ "Rp"#,##0.0,,"Jt"</c:formatCode>
                <c:ptCount val="12"/>
                <c:pt idx="0">
                  <c:v>28814000</c:v>
                </c:pt>
                <c:pt idx="1">
                  <c:v>26034000</c:v>
                </c:pt>
                <c:pt idx="2">
                  <c:v>21792000</c:v>
                </c:pt>
                <c:pt idx="3">
                  <c:v>14459000</c:v>
                </c:pt>
                <c:pt idx="4">
                  <c:v>15089000</c:v>
                </c:pt>
                <c:pt idx="5">
                  <c:v>17172000</c:v>
                </c:pt>
                <c:pt idx="6">
                  <c:v>13325000</c:v>
                </c:pt>
                <c:pt idx="7">
                  <c:v>32323000</c:v>
                </c:pt>
                <c:pt idx="8">
                  <c:v>15606000</c:v>
                </c:pt>
                <c:pt idx="9">
                  <c:v>36743000</c:v>
                </c:pt>
                <c:pt idx="10">
                  <c:v>30133000</c:v>
                </c:pt>
                <c:pt idx="11">
                  <c:v>29143000</c:v>
                </c:pt>
              </c:numCache>
            </c:numRef>
          </c:val>
          <c:smooth val="0"/>
          <c:extLst>
            <c:ext xmlns:c16="http://schemas.microsoft.com/office/drawing/2014/chart" uri="{C3380CC4-5D6E-409C-BE32-E72D297353CC}">
              <c16:uniqueId val="{00000000-170E-44A4-9B79-54D040178868}"/>
            </c:ext>
          </c:extLst>
        </c:ser>
        <c:ser>
          <c:idx val="1"/>
          <c:order val="1"/>
          <c:tx>
            <c:strRef>
              <c:f>ANALISIS!$C$5</c:f>
              <c:strCache>
                <c:ptCount val="1"/>
                <c:pt idx="0">
                  <c:v>Count of Jumlah</c:v>
                </c:pt>
              </c:strCache>
            </c:strRef>
          </c:tx>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ANALISIS!$A$6:$A$18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ANALISIS!$C$6:$C$18</c:f>
              <c:numCache>
                <c:formatCode>General</c:formatCode>
                <c:ptCount val="12"/>
                <c:pt idx="0">
                  <c:v>20</c:v>
                </c:pt>
                <c:pt idx="1">
                  <c:v>20</c:v>
                </c:pt>
                <c:pt idx="2">
                  <c:v>11</c:v>
                </c:pt>
                <c:pt idx="3">
                  <c:v>10</c:v>
                </c:pt>
                <c:pt idx="4">
                  <c:v>13</c:v>
                </c:pt>
                <c:pt idx="5">
                  <c:v>17</c:v>
                </c:pt>
                <c:pt idx="6">
                  <c:v>14</c:v>
                </c:pt>
                <c:pt idx="7">
                  <c:v>26</c:v>
                </c:pt>
                <c:pt idx="8">
                  <c:v>15</c:v>
                </c:pt>
                <c:pt idx="9">
                  <c:v>26</c:v>
                </c:pt>
                <c:pt idx="10">
                  <c:v>22</c:v>
                </c:pt>
                <c:pt idx="11">
                  <c:v>26</c:v>
                </c:pt>
              </c:numCache>
            </c:numRef>
          </c:val>
          <c:smooth val="0"/>
          <c:extLst>
            <c:ext xmlns:c16="http://schemas.microsoft.com/office/drawing/2014/chart" uri="{C3380CC4-5D6E-409C-BE32-E72D297353CC}">
              <c16:uniqueId val="{00000001-170E-44A4-9B79-54D040178868}"/>
            </c:ext>
          </c:extLst>
        </c:ser>
        <c:dLbls>
          <c:dLblPos val="t"/>
          <c:showLegendKey val="0"/>
          <c:showVal val="1"/>
          <c:showCatName val="0"/>
          <c:showSerName val="0"/>
          <c:showPercent val="0"/>
          <c:showBubbleSize val="0"/>
        </c:dLbls>
        <c:marker val="1"/>
        <c:smooth val="0"/>
        <c:axId val="747866480"/>
        <c:axId val="747865232"/>
      </c:lineChart>
      <c:catAx>
        <c:axId val="74786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47865232"/>
        <c:crosses val="autoZero"/>
        <c:auto val="1"/>
        <c:lblAlgn val="ctr"/>
        <c:lblOffset val="100"/>
        <c:noMultiLvlLbl val="0"/>
      </c:catAx>
      <c:valAx>
        <c:axId val="747865232"/>
        <c:scaling>
          <c:orientation val="minMax"/>
        </c:scaling>
        <c:delete val="0"/>
        <c:axPos val="l"/>
        <c:majorGridlines>
          <c:spPr>
            <a:ln w="9525" cap="flat" cmpd="sng" algn="ctr">
              <a:solidFill>
                <a:schemeClr val="tx1">
                  <a:lumMod val="15000"/>
                  <a:lumOff val="85000"/>
                </a:schemeClr>
              </a:solidFill>
              <a:round/>
            </a:ln>
            <a:effectLst/>
          </c:spPr>
        </c:majorGridlines>
        <c:numFmt formatCode="\ \ \ &quot;Rp&quot;#,##0.0,,&quot;J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47866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rnd" cmpd="sng" algn="ctr">
      <a:solidFill>
        <a:schemeClr val="tx1">
          <a:lumMod val="15000"/>
          <a:lumOff val="85000"/>
        </a:schemeClr>
      </a:solidFill>
      <a:round/>
    </a:ln>
    <a:effectLst>
      <a:glow rad="63500">
        <a:schemeClr val="accent1">
          <a:lumMod val="75000"/>
          <a:alpha val="40000"/>
        </a:schemeClr>
      </a:glow>
      <a:outerShdw blurRad="50800" dist="38100" dir="2700000" algn="tl" rotWithShape="0">
        <a:schemeClr val="accent1">
          <a:lumMod val="50000"/>
          <a:alpha val="40000"/>
        </a:schemeClr>
      </a:outerShdw>
      <a:softEdge rad="12700"/>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[Hasil_Analisis.xlsx]ANALISIS!Kontribusi_Kategori</c:name>
    <c:fmtId val="7"/>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b="1">
                <a:solidFill>
                  <a:sysClr val="windowText" lastClr="000000"/>
                </a:solidFill>
              </a:rPr>
              <a:t>Kategori</a:t>
            </a:r>
          </a:p>
        </c:rich>
      </c:tx>
      <c:layout>
        <c:manualLayout>
          <c:xMode val="edge"/>
          <c:yMode val="edge"/>
          <c:x val="0.33514838075364178"/>
          <c:y val="5.0121968239821957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5"/>
      </c:pivotFmt>
      <c:pivotFmt>
        <c:idx val="26"/>
      </c:pivotFmt>
      <c:pivotFmt>
        <c:idx val="27"/>
      </c:pivotFmt>
      <c:pivotFmt>
        <c:idx val="28"/>
      </c:pivotFmt>
      <c:pivotFmt>
        <c:idx val="29"/>
      </c:pivotFmt>
      <c:pivotFmt>
        <c:idx val="3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1"/>
      </c:pivotFmt>
      <c:pivotFmt>
        <c:idx val="32"/>
      </c:pivotFmt>
      <c:pivotFmt>
        <c:idx val="33"/>
      </c:pivotFmt>
      <c:pivotFmt>
        <c:idx val="34"/>
      </c:pivotFmt>
      <c:pivotFmt>
        <c:idx val="35"/>
      </c:pivotFmt>
      <c:pivotFmt>
        <c:idx val="3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7"/>
      </c:pivotFmt>
      <c:pivotFmt>
        <c:idx val="38"/>
      </c:pivotFmt>
      <c:pivotFmt>
        <c:idx val="39"/>
      </c:pivotFmt>
      <c:pivotFmt>
        <c:idx val="40"/>
      </c:pivotFmt>
      <c:pivotFmt>
        <c:idx val="41"/>
      </c:pivotFmt>
      <c:pivotFmt>
        <c:idx val="4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3"/>
      </c:pivotFmt>
      <c:pivotFmt>
        <c:idx val="44"/>
      </c:pivotFmt>
      <c:pivotFmt>
        <c:idx val="45"/>
      </c:pivotFmt>
      <c:pivotFmt>
        <c:idx val="46"/>
      </c:pivotFmt>
      <c:pivotFmt>
        <c:idx val="47"/>
      </c:pivotFmt>
      <c:pivotFmt>
        <c:idx val="4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9"/>
      </c:pivotFmt>
      <c:pivotFmt>
        <c:idx val="50"/>
      </c:pivotFmt>
      <c:pivotFmt>
        <c:idx val="51"/>
      </c:pivotFmt>
      <c:pivotFmt>
        <c:idx val="52"/>
      </c:pivotFmt>
      <c:pivotFmt>
        <c:idx val="53"/>
      </c:pivotFmt>
      <c:pivotFmt>
        <c:idx val="5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5"/>
      </c:pivotFmt>
      <c:pivotFmt>
        <c:idx val="56"/>
      </c:pivotFmt>
      <c:pivotFmt>
        <c:idx val="57"/>
      </c:pivotFmt>
      <c:pivotFmt>
        <c:idx val="58"/>
      </c:pivotFmt>
      <c:pivotFmt>
        <c:idx val="59"/>
      </c:pivotFmt>
      <c:pivotFmt>
        <c:idx val="6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1"/>
      </c:pivotFmt>
      <c:pivotFmt>
        <c:idx val="62"/>
      </c:pivotFmt>
      <c:pivotFmt>
        <c:idx val="63"/>
      </c:pivotFmt>
      <c:pivotFmt>
        <c:idx val="64"/>
      </c:pivotFmt>
      <c:pivotFmt>
        <c:idx val="65"/>
      </c:pivotFmt>
      <c:pivotFmt>
        <c:idx val="6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7"/>
      </c:pivotFmt>
      <c:pivotFmt>
        <c:idx val="68"/>
      </c:pivotFmt>
      <c:pivotFmt>
        <c:idx val="69"/>
      </c:pivotFmt>
      <c:pivotFmt>
        <c:idx val="70"/>
      </c:pivotFmt>
      <c:pivotFmt>
        <c:idx val="71"/>
      </c:pivotFmt>
      <c:pivotFmt>
        <c:idx val="7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3"/>
      </c:pivotFmt>
      <c:pivotFmt>
        <c:idx val="74"/>
      </c:pivotFmt>
      <c:pivotFmt>
        <c:idx val="75"/>
      </c:pivotFmt>
      <c:pivotFmt>
        <c:idx val="76"/>
      </c:pivotFmt>
      <c:pivotFmt>
        <c:idx val="77"/>
      </c:pivotFmt>
      <c:pivotFmt>
        <c:idx val="7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9"/>
      </c:pivotFmt>
      <c:pivotFmt>
        <c:idx val="80"/>
      </c:pivotFmt>
      <c:pivotFmt>
        <c:idx val="81"/>
      </c:pivotFmt>
      <c:pivotFmt>
        <c:idx val="82"/>
      </c:pivotFmt>
      <c:pivotFmt>
        <c:idx val="83"/>
      </c:pivotFmt>
      <c:pivotFmt>
        <c:idx val="8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5"/>
      </c:pivotFmt>
      <c:pivotFmt>
        <c:idx val="86"/>
      </c:pivotFmt>
      <c:pivotFmt>
        <c:idx val="87"/>
      </c:pivotFmt>
      <c:pivotFmt>
        <c:idx val="88"/>
      </c:pivotFmt>
      <c:pivotFmt>
        <c:idx val="89"/>
      </c:pivotFmt>
      <c:pivotFmt>
        <c:idx val="9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1"/>
      </c:pivotFmt>
      <c:pivotFmt>
        <c:idx val="92"/>
      </c:pivotFmt>
      <c:pivotFmt>
        <c:idx val="93"/>
      </c:pivotFmt>
      <c:pivotFmt>
        <c:idx val="94"/>
      </c:pivotFmt>
      <c:pivotFmt>
        <c:idx val="95"/>
      </c:pivotFmt>
      <c:pivotFmt>
        <c:idx val="96"/>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23795349525183698"/>
                  <c:h val="0.18807509548809428"/>
                </c:manualLayout>
              </c15:layout>
            </c:ext>
          </c:extLst>
        </c:dLbl>
      </c:pivotFmt>
      <c:pivotFmt>
        <c:idx val="98"/>
        <c:spPr>
          <a:solidFill>
            <a:schemeClr val="accent2"/>
          </a:solidFill>
          <a:ln>
            <a:noFill/>
          </a:ln>
          <a:effectLst>
            <a:outerShdw blurRad="63500" sx="102000" sy="102000" algn="ctr" rotWithShape="0">
              <a:prstClr val="black">
                <a:alpha val="20000"/>
              </a:prstClr>
            </a:outerShdw>
          </a:effectLst>
        </c:spPr>
        <c:dLbl>
          <c:idx val="0"/>
          <c:layout>
            <c:manualLayout>
              <c:x val="-3.9592757412447182E-7"/>
              <c:y val="4.206897964506177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4903692225836713"/>
                  <c:h val="0.16926601695346577"/>
                </c:manualLayout>
              </c15:layout>
            </c:ext>
          </c:extLst>
        </c:dLbl>
      </c:pivotFmt>
      <c:pivotFmt>
        <c:idx val="99"/>
        <c:spPr>
          <a:solidFill>
            <a:schemeClr val="accent3"/>
          </a:solidFill>
          <a:ln>
            <a:noFill/>
          </a:ln>
          <a:effectLst>
            <a:outerShdw blurRad="63500" sx="102000" sy="102000" algn="ctr" rotWithShape="0">
              <a:prstClr val="black">
                <a:alpha val="20000"/>
              </a:prstClr>
            </a:outerShdw>
          </a:effectLst>
        </c:spPr>
        <c:dLbl>
          <c:idx val="0"/>
          <c:layout>
            <c:manualLayout>
              <c:x val="-4.5951857895158007E-3"/>
              <c:y val="9.7811742423570311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901910430592739"/>
                  <c:h val="0.19293512473245925"/>
                </c:manualLayout>
              </c15:layout>
            </c:ext>
          </c:extLst>
        </c:dLbl>
      </c:pivotFmt>
      <c:pivotFmt>
        <c:idx val="100"/>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24999424322103297"/>
                  <c:h val="0.18050761319330755"/>
                </c:manualLayout>
              </c15:layout>
            </c:ext>
          </c:extLst>
        </c:dLbl>
      </c:pivotFmt>
      <c:pivotFmt>
        <c:idx val="101"/>
        <c:spPr>
          <a:solidFill>
            <a:schemeClr val="accent5"/>
          </a:solidFill>
          <a:ln>
            <a:noFill/>
          </a:ln>
          <a:effectLst>
            <a:outerShdw blurRad="63500" sx="102000" sy="102000" algn="ctr" rotWithShape="0">
              <a:prstClr val="black">
                <a:alpha val="20000"/>
              </a:prstClr>
            </a:outerShdw>
          </a:effectLst>
        </c:spPr>
        <c:dLbl>
          <c:idx val="0"/>
          <c:layout>
            <c:manualLayout>
              <c:x val="-9.1520884292097843E-2"/>
              <c:y val="7.2898525268133936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091917262108998"/>
                  <c:h val="0.22424787220648768"/>
                </c:manualLayout>
              </c15:layout>
            </c:ext>
          </c:extLst>
        </c:dLbl>
      </c:pivotFmt>
      <c:pivotFmt>
        <c:idx val="102"/>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4"/>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5"/>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6"/>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7"/>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8"/>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0"/>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1"/>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2"/>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3"/>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4"/>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6"/>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7"/>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8"/>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9"/>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615056833990751"/>
          <c:y val="0.27550816963262387"/>
          <c:w val="0.50578069234754308"/>
          <c:h val="0.53911806924431904"/>
        </c:manualLayout>
      </c:layout>
      <c:pieChart>
        <c:varyColors val="1"/>
        <c:ser>
          <c:idx val="0"/>
          <c:order val="0"/>
          <c:tx>
            <c:strRef>
              <c:f>ANALISIS!$B$73</c:f>
              <c:strCache>
                <c:ptCount val="1"/>
                <c:pt idx="0">
                  <c:v>Total Penjualan</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0BAD-4A9B-800F-7E1843A65BB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0BAD-4A9B-800F-7E1843A65BB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0BAD-4A9B-800F-7E1843A65BB6}"/>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0BAD-4A9B-800F-7E1843A65BB6}"/>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0BAD-4A9B-800F-7E1843A65BB6}"/>
              </c:ext>
            </c:extLst>
          </c:dPt>
          <c:dLbls>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23795349525183698"/>
                      <c:h val="0.18807509548809428"/>
                    </c:manualLayout>
                  </c15:layout>
                </c:ext>
                <c:ext xmlns:c16="http://schemas.microsoft.com/office/drawing/2014/chart" uri="{C3380CC4-5D6E-409C-BE32-E72D297353CC}">
                  <c16:uniqueId val="{00000001-0BAD-4A9B-800F-7E1843A65BB6}"/>
                </c:ext>
              </c:extLst>
            </c:dLbl>
            <c:dLbl>
              <c:idx val="1"/>
              <c:layout>
                <c:manualLayout>
                  <c:x val="-3.9592757412447182E-7"/>
                  <c:y val="4.206897964506177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4903692225836713"/>
                      <c:h val="0.16926601695346577"/>
                    </c:manualLayout>
                  </c15:layout>
                </c:ext>
                <c:ext xmlns:c16="http://schemas.microsoft.com/office/drawing/2014/chart" uri="{C3380CC4-5D6E-409C-BE32-E72D297353CC}">
                  <c16:uniqueId val="{00000003-0BAD-4A9B-800F-7E1843A65BB6}"/>
                </c:ext>
              </c:extLst>
            </c:dLbl>
            <c:dLbl>
              <c:idx val="2"/>
              <c:layout>
                <c:manualLayout>
                  <c:x val="-4.5951857895158007E-3"/>
                  <c:y val="9.7811742423570311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901910430592739"/>
                      <c:h val="0.19293512473245925"/>
                    </c:manualLayout>
                  </c15:layout>
                </c:ext>
                <c:ext xmlns:c16="http://schemas.microsoft.com/office/drawing/2014/chart" uri="{C3380CC4-5D6E-409C-BE32-E72D297353CC}">
                  <c16:uniqueId val="{00000005-0BAD-4A9B-800F-7E1843A65BB6}"/>
                </c:ext>
              </c:extLst>
            </c:dLbl>
            <c:dLbl>
              <c:idx val="3"/>
              <c:dLblPos val="outEnd"/>
              <c:showLegendKey val="0"/>
              <c:showVal val="0"/>
              <c:showCatName val="1"/>
              <c:showSerName val="0"/>
              <c:showPercent val="1"/>
              <c:showBubbleSize val="0"/>
              <c:extLst>
                <c:ext xmlns:c15="http://schemas.microsoft.com/office/drawing/2012/chart" uri="{CE6537A1-D6FC-4f65-9D91-7224C49458BB}">
                  <c15:layout>
                    <c:manualLayout>
                      <c:w val="0.24999424322103297"/>
                      <c:h val="0.18050761319330755"/>
                    </c:manualLayout>
                  </c15:layout>
                </c:ext>
                <c:ext xmlns:c16="http://schemas.microsoft.com/office/drawing/2014/chart" uri="{C3380CC4-5D6E-409C-BE32-E72D297353CC}">
                  <c16:uniqueId val="{00000007-0BAD-4A9B-800F-7E1843A65BB6}"/>
                </c:ext>
              </c:extLst>
            </c:dLbl>
            <c:dLbl>
              <c:idx val="4"/>
              <c:layout>
                <c:manualLayout>
                  <c:x val="-9.1520884292097843E-2"/>
                  <c:y val="7.2898525268133936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091917262108998"/>
                      <c:h val="0.22424787220648768"/>
                    </c:manualLayout>
                  </c15:layout>
                </c:ext>
                <c:ext xmlns:c16="http://schemas.microsoft.com/office/drawing/2014/chart" uri="{C3380CC4-5D6E-409C-BE32-E72D297353CC}">
                  <c16:uniqueId val="{00000009-0BAD-4A9B-800F-7E1843A65BB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ANALISIS!$A$74:$A$79</c:f>
              <c:strCache>
                <c:ptCount val="5"/>
                <c:pt idx="0">
                  <c:v>Fashion</c:v>
                </c:pt>
                <c:pt idx="1">
                  <c:v>Elektronik</c:v>
                </c:pt>
                <c:pt idx="2">
                  <c:v>Olahraga</c:v>
                </c:pt>
                <c:pt idx="3">
                  <c:v>Kecantikan</c:v>
                </c:pt>
                <c:pt idx="4">
                  <c:v>Rumah Tangga</c:v>
                </c:pt>
              </c:strCache>
            </c:strRef>
          </c:cat>
          <c:val>
            <c:numRef>
              <c:f>ANALISIS!$B$74:$B$79</c:f>
              <c:numCache>
                <c:formatCode>"Rp"#,##0</c:formatCode>
                <c:ptCount val="5"/>
                <c:pt idx="0">
                  <c:v>81388000</c:v>
                </c:pt>
                <c:pt idx="1">
                  <c:v>77171000</c:v>
                </c:pt>
                <c:pt idx="2">
                  <c:v>52526000</c:v>
                </c:pt>
                <c:pt idx="3">
                  <c:v>34872000</c:v>
                </c:pt>
                <c:pt idx="4">
                  <c:v>34676000</c:v>
                </c:pt>
              </c:numCache>
            </c:numRef>
          </c:val>
          <c:extLst>
            <c:ext xmlns:c16="http://schemas.microsoft.com/office/drawing/2014/chart" uri="{C3380CC4-5D6E-409C-BE32-E72D297353CC}">
              <c16:uniqueId val="{0000000A-0BAD-4A9B-800F-7E1843A65BB6}"/>
            </c:ext>
          </c:extLst>
        </c:ser>
        <c:ser>
          <c:idx val="1"/>
          <c:order val="1"/>
          <c:tx>
            <c:strRef>
              <c:f>ANALISIS!$C$73</c:f>
              <c:strCache>
                <c:ptCount val="1"/>
                <c:pt idx="0">
                  <c:v>Kontribusi</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0BAD-4A9B-800F-7E1843A65BB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0BAD-4A9B-800F-7E1843A65BB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0BAD-4A9B-800F-7E1843A65BB6}"/>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0BAD-4A9B-800F-7E1843A65BB6}"/>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0BAD-4A9B-800F-7E1843A65BB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ANALISIS!$A$74:$A$79</c:f>
              <c:strCache>
                <c:ptCount val="5"/>
                <c:pt idx="0">
                  <c:v>Fashion</c:v>
                </c:pt>
                <c:pt idx="1">
                  <c:v>Elektronik</c:v>
                </c:pt>
                <c:pt idx="2">
                  <c:v>Olahraga</c:v>
                </c:pt>
                <c:pt idx="3">
                  <c:v>Kecantikan</c:v>
                </c:pt>
                <c:pt idx="4">
                  <c:v>Rumah Tangga</c:v>
                </c:pt>
              </c:strCache>
            </c:strRef>
          </c:cat>
          <c:val>
            <c:numRef>
              <c:f>ANALISIS!$C$74:$C$79</c:f>
              <c:numCache>
                <c:formatCode>0.00%</c:formatCode>
                <c:ptCount val="5"/>
                <c:pt idx="0">
                  <c:v>0.29001578574152004</c:v>
                </c:pt>
                <c:pt idx="1">
                  <c:v>0.27498904262862883</c:v>
                </c:pt>
                <c:pt idx="2">
                  <c:v>0.18716971988326392</c:v>
                </c:pt>
                <c:pt idx="3">
                  <c:v>0.12426193640804895</c:v>
                </c:pt>
                <c:pt idx="4">
                  <c:v>0.12356351533853824</c:v>
                </c:pt>
              </c:numCache>
            </c:numRef>
          </c:val>
          <c:extLst>
            <c:ext xmlns:c16="http://schemas.microsoft.com/office/drawing/2014/chart" uri="{C3380CC4-5D6E-409C-BE32-E72D297353CC}">
              <c16:uniqueId val="{00000015-0BAD-4A9B-800F-7E1843A65BB6}"/>
            </c:ext>
          </c:extLst>
        </c:ser>
        <c:ser>
          <c:idx val="2"/>
          <c:order val="2"/>
          <c:tx>
            <c:strRef>
              <c:f>ANALISIS!$D$73</c:f>
              <c:strCache>
                <c:ptCount val="1"/>
                <c:pt idx="0">
                  <c:v>Jumlah Terjual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0BAD-4A9B-800F-7E1843A65BB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0BAD-4A9B-800F-7E1843A65BB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0BAD-4A9B-800F-7E1843A65BB6}"/>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0BAD-4A9B-800F-7E1843A65BB6}"/>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0BAD-4A9B-800F-7E1843A65BB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ANALISIS!$A$74:$A$79</c:f>
              <c:strCache>
                <c:ptCount val="5"/>
                <c:pt idx="0">
                  <c:v>Fashion</c:v>
                </c:pt>
                <c:pt idx="1">
                  <c:v>Elektronik</c:v>
                </c:pt>
                <c:pt idx="2">
                  <c:v>Olahraga</c:v>
                </c:pt>
                <c:pt idx="3">
                  <c:v>Kecantikan</c:v>
                </c:pt>
                <c:pt idx="4">
                  <c:v>Rumah Tangga</c:v>
                </c:pt>
              </c:strCache>
            </c:strRef>
          </c:cat>
          <c:val>
            <c:numRef>
              <c:f>ANALISIS!$D$74:$D$79</c:f>
              <c:numCache>
                <c:formatCode>General</c:formatCode>
                <c:ptCount val="5"/>
                <c:pt idx="0">
                  <c:v>740</c:v>
                </c:pt>
                <c:pt idx="1">
                  <c:v>533</c:v>
                </c:pt>
                <c:pt idx="2">
                  <c:v>539</c:v>
                </c:pt>
                <c:pt idx="3">
                  <c:v>611</c:v>
                </c:pt>
                <c:pt idx="4">
                  <c:v>576</c:v>
                </c:pt>
              </c:numCache>
            </c:numRef>
          </c:val>
          <c:extLst>
            <c:ext xmlns:c16="http://schemas.microsoft.com/office/drawing/2014/chart" uri="{C3380CC4-5D6E-409C-BE32-E72D297353CC}">
              <c16:uniqueId val="{00000020-0BAD-4A9B-800F-7E1843A65BB6}"/>
            </c:ext>
          </c:extLst>
        </c:ser>
        <c:ser>
          <c:idx val="3"/>
          <c:order val="3"/>
          <c:tx>
            <c:strRef>
              <c:f>ANALISIS!$E$73</c:f>
              <c:strCache>
                <c:ptCount val="1"/>
                <c:pt idx="0">
                  <c:v>Jumlah Transaksi</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2-0BAD-4A9B-800F-7E1843A65BB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4-0BAD-4A9B-800F-7E1843A65BB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6-0BAD-4A9B-800F-7E1843A65BB6}"/>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0BAD-4A9B-800F-7E1843A65BB6}"/>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A-0BAD-4A9B-800F-7E1843A65BB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ANALISIS!$A$74:$A$79</c:f>
              <c:strCache>
                <c:ptCount val="5"/>
                <c:pt idx="0">
                  <c:v>Fashion</c:v>
                </c:pt>
                <c:pt idx="1">
                  <c:v>Elektronik</c:v>
                </c:pt>
                <c:pt idx="2">
                  <c:v>Olahraga</c:v>
                </c:pt>
                <c:pt idx="3">
                  <c:v>Kecantikan</c:v>
                </c:pt>
                <c:pt idx="4">
                  <c:v>Rumah Tangga</c:v>
                </c:pt>
              </c:strCache>
            </c:strRef>
          </c:cat>
          <c:val>
            <c:numRef>
              <c:f>ANALISIS!$E$74:$E$79</c:f>
              <c:numCache>
                <c:formatCode>General</c:formatCode>
                <c:ptCount val="5"/>
                <c:pt idx="0">
                  <c:v>50</c:v>
                </c:pt>
                <c:pt idx="1">
                  <c:v>41</c:v>
                </c:pt>
                <c:pt idx="2">
                  <c:v>42</c:v>
                </c:pt>
                <c:pt idx="3">
                  <c:v>46</c:v>
                </c:pt>
                <c:pt idx="4">
                  <c:v>41</c:v>
                </c:pt>
              </c:numCache>
            </c:numRef>
          </c:val>
          <c:extLst>
            <c:ext xmlns:c16="http://schemas.microsoft.com/office/drawing/2014/chart" uri="{C3380CC4-5D6E-409C-BE32-E72D297353CC}">
              <c16:uniqueId val="{0000002B-0BAD-4A9B-800F-7E1843A65BB6}"/>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3600000" scaled="0"/>
    </a:gradFill>
    <a:ln w="22225" cap="rnd" cmpd="sng" algn="ctr">
      <a:noFill/>
      <a:round/>
    </a:ln>
    <a:effectLst>
      <a:glow rad="63500">
        <a:schemeClr val="accent1">
          <a:lumMod val="75000"/>
          <a:alpha val="40000"/>
        </a:schemeClr>
      </a:glow>
      <a:outerShdw blurRad="50800" dist="38100" dir="2700000" algn="tl" rotWithShape="0">
        <a:schemeClr val="accent1">
          <a:lumMod val="50000"/>
          <a:alpha val="40000"/>
        </a:schemeClr>
      </a:outerShdw>
      <a:softEdge rad="12700"/>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[Hasil_Analisis.xlsx]ANALISIS!AOV_Pelanggan</c:name>
    <c:fmtId val="33"/>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t>AOV Pelanggan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ANALISIS!$H$106</c:f>
              <c:strCache>
                <c:ptCount val="1"/>
                <c:pt idx="0">
                  <c:v>Total</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ANALISIS!$G$107:$G$110</c:f>
              <c:strCache>
                <c:ptCount val="3"/>
                <c:pt idx="0">
                  <c:v>Grosir</c:v>
                </c:pt>
                <c:pt idx="1">
                  <c:v>Retail</c:v>
                </c:pt>
                <c:pt idx="2">
                  <c:v>Reseller</c:v>
                </c:pt>
              </c:strCache>
            </c:strRef>
          </c:cat>
          <c:val>
            <c:numRef>
              <c:f>ANALISIS!$H$107:$H$110</c:f>
              <c:numCache>
                <c:formatCode>\ \ \ "Rp"#,##0.0,,"Jt"</c:formatCode>
                <c:ptCount val="3"/>
                <c:pt idx="0">
                  <c:v>1760280</c:v>
                </c:pt>
                <c:pt idx="1">
                  <c:v>1310582.6771653544</c:v>
                </c:pt>
                <c:pt idx="2">
                  <c:v>1032088.2352941176</c:v>
                </c:pt>
              </c:numCache>
            </c:numRef>
          </c:val>
          <c:extLst>
            <c:ext xmlns:c16="http://schemas.microsoft.com/office/drawing/2014/chart" uri="{C3380CC4-5D6E-409C-BE32-E72D297353CC}">
              <c16:uniqueId val="{00000000-4F8D-44C2-8F80-67FBC7C596FB}"/>
            </c:ext>
          </c:extLst>
        </c:ser>
        <c:dLbls>
          <c:dLblPos val="outEnd"/>
          <c:showLegendKey val="0"/>
          <c:showVal val="1"/>
          <c:showCatName val="0"/>
          <c:showSerName val="0"/>
          <c:showPercent val="0"/>
          <c:showBubbleSize val="0"/>
        </c:dLbls>
        <c:gapWidth val="100"/>
        <c:overlap val="-24"/>
        <c:axId val="859914512"/>
        <c:axId val="1257029728"/>
      </c:barChart>
      <c:catAx>
        <c:axId val="8599145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7029728"/>
        <c:crosses val="autoZero"/>
        <c:auto val="1"/>
        <c:lblAlgn val="ctr"/>
        <c:lblOffset val="100"/>
        <c:noMultiLvlLbl val="0"/>
      </c:catAx>
      <c:valAx>
        <c:axId val="1257029728"/>
        <c:scaling>
          <c:orientation val="minMax"/>
        </c:scaling>
        <c:delete val="0"/>
        <c:axPos val="l"/>
        <c:majorGridlines>
          <c:spPr>
            <a:ln w="9525" cap="flat" cmpd="sng" algn="ctr">
              <a:solidFill>
                <a:schemeClr val="tx1">
                  <a:lumMod val="15000"/>
                  <a:lumOff val="85000"/>
                </a:schemeClr>
              </a:solidFill>
              <a:round/>
            </a:ln>
            <a:effectLst/>
          </c:spPr>
        </c:majorGridlines>
        <c:numFmt formatCode="\ \ \ &quot;Rp&quot;#,##0.0,,&quot;J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991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3600000" scaled="0"/>
    </a:gradFill>
    <a:ln w="9525" cap="rnd" cmpd="sng" algn="ctr">
      <a:solidFill>
        <a:schemeClr val="tx1">
          <a:lumMod val="15000"/>
          <a:lumOff val="85000"/>
        </a:schemeClr>
      </a:solidFill>
      <a:round/>
    </a:ln>
    <a:effectLst>
      <a:glow rad="63500">
        <a:schemeClr val="accent1">
          <a:lumMod val="75000"/>
          <a:alpha val="40000"/>
        </a:schemeClr>
      </a:glow>
      <a:outerShdw blurRad="50800" dist="38100" dir="2700000" algn="tl" rotWithShape="0">
        <a:schemeClr val="accent1">
          <a:lumMod val="50000"/>
          <a:alpha val="40000"/>
        </a:schemeClr>
      </a:outerShdw>
      <a:softEdge rad="12700"/>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[Hasil_Analisis.xlsx]ANALISIS!Kontribusi_Wilayah</c:name>
    <c:fmtId val="15"/>
  </c:pivotSource>
  <c:chart>
    <c:title>
      <c:tx>
        <c:rich>
          <a:bodyPr rot="0" spcFirstLastPara="1" vertOverflow="ellipsis" vert="horz" wrap="square" anchor="ctr" anchorCtr="1"/>
          <a:lstStyle/>
          <a:p>
            <a:pPr>
              <a:defRPr sz="1800" b="1" i="0" u="none" strike="noStrike" kern="1200" cap="all" spc="50" baseline="0">
                <a:solidFill>
                  <a:schemeClr val="tx1"/>
                </a:solidFill>
                <a:latin typeface="+mn-lt"/>
                <a:ea typeface="+mn-ea"/>
                <a:cs typeface="+mn-cs"/>
              </a:defRPr>
            </a:pPr>
            <a:r>
              <a:rPr lang="en-US"/>
              <a:t>Wilayah</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ANALISIS!$H$33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ANALISIS!$G$34:$G$45</c:f>
              <c:strCache>
                <c:ptCount val="11"/>
                <c:pt idx="0">
                  <c:v>Nn</c:v>
                </c:pt>
                <c:pt idx="1">
                  <c:v>Denpasar</c:v>
                </c:pt>
                <c:pt idx="2">
                  <c:v>Palembang</c:v>
                </c:pt>
                <c:pt idx="3">
                  <c:v>Yogyakarta</c:v>
                </c:pt>
                <c:pt idx="4">
                  <c:v>Jakarta</c:v>
                </c:pt>
                <c:pt idx="5">
                  <c:v>Bandung</c:v>
                </c:pt>
                <c:pt idx="6">
                  <c:v>Malang</c:v>
                </c:pt>
                <c:pt idx="7">
                  <c:v>Medan</c:v>
                </c:pt>
                <c:pt idx="8">
                  <c:v>Surabaya</c:v>
                </c:pt>
                <c:pt idx="9">
                  <c:v>Makassar</c:v>
                </c:pt>
                <c:pt idx="10">
                  <c:v>Semarang</c:v>
                </c:pt>
              </c:strCache>
            </c:strRef>
          </c:cat>
          <c:val>
            <c:numRef>
              <c:f>ANALISIS!$H$34:$H$45</c:f>
              <c:numCache>
                <c:formatCode>\ \ \ "Rp"#,##0.0,,"Jt"</c:formatCode>
                <c:ptCount val="11"/>
                <c:pt idx="0">
                  <c:v>1999000</c:v>
                </c:pt>
                <c:pt idx="1">
                  <c:v>16799000</c:v>
                </c:pt>
                <c:pt idx="2">
                  <c:v>20675000</c:v>
                </c:pt>
                <c:pt idx="3">
                  <c:v>21193000</c:v>
                </c:pt>
                <c:pt idx="4">
                  <c:v>25296000</c:v>
                </c:pt>
                <c:pt idx="5">
                  <c:v>26837000</c:v>
                </c:pt>
                <c:pt idx="6">
                  <c:v>26978000</c:v>
                </c:pt>
                <c:pt idx="7">
                  <c:v>34673000</c:v>
                </c:pt>
                <c:pt idx="8">
                  <c:v>35026000</c:v>
                </c:pt>
                <c:pt idx="9">
                  <c:v>35292000</c:v>
                </c:pt>
                <c:pt idx="10">
                  <c:v>35865000</c:v>
                </c:pt>
              </c:numCache>
            </c:numRef>
          </c:val>
          <c:extLst>
            <c:ext xmlns:c16="http://schemas.microsoft.com/office/drawing/2014/chart" uri="{C3380CC4-5D6E-409C-BE32-E72D297353CC}">
              <c16:uniqueId val="{00000000-AE51-483E-BDB2-F7040575888A}"/>
            </c:ext>
          </c:extLst>
        </c:ser>
        <c:dLbls>
          <c:dLblPos val="outEnd"/>
          <c:showLegendKey val="0"/>
          <c:showVal val="1"/>
          <c:showCatName val="0"/>
          <c:showSerName val="0"/>
          <c:showPercent val="0"/>
          <c:showBubbleSize val="0"/>
        </c:dLbls>
        <c:gapWidth val="326"/>
        <c:overlap val="-54"/>
        <c:axId val="998157328"/>
        <c:axId val="998165232"/>
      </c:barChart>
      <c:catAx>
        <c:axId val="99815732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98165232"/>
        <c:crosses val="autoZero"/>
        <c:auto val="1"/>
        <c:lblAlgn val="ctr"/>
        <c:lblOffset val="100"/>
        <c:noMultiLvlLbl val="0"/>
      </c:catAx>
      <c:valAx>
        <c:axId val="998165232"/>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 \ \ &quot;Rp&quot;#,##0.0,,&quot;J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98157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3600000" scaled="0"/>
    </a:gradFill>
    <a:ln w="22225" cap="rnd" cmpd="sng" algn="ctr">
      <a:noFill/>
      <a:round/>
    </a:ln>
    <a:effectLst>
      <a:glow rad="63500">
        <a:schemeClr val="accent1">
          <a:lumMod val="75000"/>
          <a:alpha val="40000"/>
        </a:schemeClr>
      </a:glow>
      <a:outerShdw blurRad="50800" dist="38100" dir="2700000" algn="tl" rotWithShape="0">
        <a:schemeClr val="accent1">
          <a:lumMod val="50000"/>
          <a:alpha val="40000"/>
        </a:schemeClr>
      </a:outerShdw>
      <a:softEdge rad="12700"/>
    </a:effectLst>
    <a:scene3d>
      <a:camera prst="orthographicFront"/>
      <a:lightRig rig="balanced" dir="t">
        <a:rot lat="0" lon="0" rev="8700000"/>
      </a:lightRig>
    </a:scene3d>
    <a:sp3d>
      <a:bevelT w="190500" h="38100"/>
    </a:sp3d>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[Hasil_Analisis.xlsx]ANALISIS!Pola_Musiman</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Pola Musiman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ANALISIS!$B$167:$B$168</c:f>
              <c:strCache>
                <c:ptCount val="1"/>
                <c:pt idx="0">
                  <c:v>Elektronik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ANALISIS!$A$169:$A$181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ANALISIS!$B$169:$B$181</c:f>
              <c:numCache>
                <c:formatCode>\ \ \ "Rp"#,##0.0,,"Jt"</c:formatCode>
                <c:ptCount val="12"/>
                <c:pt idx="0">
                  <c:v>10420000</c:v>
                </c:pt>
                <c:pt idx="1">
                  <c:v>11582000</c:v>
                </c:pt>
                <c:pt idx="2">
                  <c:v>2115000</c:v>
                </c:pt>
                <c:pt idx="3">
                  <c:v>2026000</c:v>
                </c:pt>
                <c:pt idx="4">
                  <c:v>1330000</c:v>
                </c:pt>
                <c:pt idx="5">
                  <c:v>0</c:v>
                </c:pt>
                <c:pt idx="6">
                  <c:v>1690000</c:v>
                </c:pt>
                <c:pt idx="7">
                  <c:v>11280000</c:v>
                </c:pt>
                <c:pt idx="8">
                  <c:v>1590000</c:v>
                </c:pt>
                <c:pt idx="9">
                  <c:v>14039000</c:v>
                </c:pt>
                <c:pt idx="10">
                  <c:v>15878000</c:v>
                </c:pt>
                <c:pt idx="11">
                  <c:v>5221000</c:v>
                </c:pt>
              </c:numCache>
            </c:numRef>
          </c:val>
          <c:smooth val="0"/>
          <c:extLst>
            <c:ext xmlns:c16="http://schemas.microsoft.com/office/drawing/2014/chart" uri="{C3380CC4-5D6E-409C-BE32-E72D297353CC}">
              <c16:uniqueId val="{00000000-D498-4627-B5E1-23D7AEA613C4}"/>
            </c:ext>
          </c:extLst>
        </c:ser>
        <c:ser>
          <c:idx val="1"/>
          <c:order val="1"/>
          <c:tx>
            <c:strRef>
              <c:f>ANALISIS!$C$167:$C$168</c:f>
              <c:strCache>
                <c:ptCount val="1"/>
                <c:pt idx="0">
                  <c:v>Fashion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ANALISIS!$A$169:$A$181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ANALISIS!$C$169:$C$181</c:f>
              <c:numCache>
                <c:formatCode>\ \ \ "Rp"#,##0.0,,"Jt"</c:formatCode>
                <c:ptCount val="12"/>
                <c:pt idx="0">
                  <c:v>4612000</c:v>
                </c:pt>
                <c:pt idx="1">
                  <c:v>6853000</c:v>
                </c:pt>
                <c:pt idx="2">
                  <c:v>11119000</c:v>
                </c:pt>
                <c:pt idx="3">
                  <c:v>2975000</c:v>
                </c:pt>
                <c:pt idx="4">
                  <c:v>4229000</c:v>
                </c:pt>
                <c:pt idx="5">
                  <c:v>7873000</c:v>
                </c:pt>
                <c:pt idx="6">
                  <c:v>3930000</c:v>
                </c:pt>
                <c:pt idx="7">
                  <c:v>8904000</c:v>
                </c:pt>
                <c:pt idx="8">
                  <c:v>8047000</c:v>
                </c:pt>
                <c:pt idx="9">
                  <c:v>8780000</c:v>
                </c:pt>
                <c:pt idx="10">
                  <c:v>4402000</c:v>
                </c:pt>
                <c:pt idx="11">
                  <c:v>9664000</c:v>
                </c:pt>
              </c:numCache>
            </c:numRef>
          </c:val>
          <c:smooth val="0"/>
          <c:extLst>
            <c:ext xmlns:c16="http://schemas.microsoft.com/office/drawing/2014/chart" uri="{C3380CC4-5D6E-409C-BE32-E72D297353CC}">
              <c16:uniqueId val="{00000008-7194-4054-9728-D7AADD5A2649}"/>
            </c:ext>
          </c:extLst>
        </c:ser>
        <c:ser>
          <c:idx val="2"/>
          <c:order val="2"/>
          <c:tx>
            <c:strRef>
              <c:f>ANALISIS!$D$167:$D$168</c:f>
              <c:strCache>
                <c:ptCount val="1"/>
                <c:pt idx="0">
                  <c:v>Kecantikan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ANALISIS!$A$169:$A$181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ANALISIS!$D$169:$D$181</c:f>
              <c:numCache>
                <c:formatCode>\ \ \ "Rp"#,##0.0,,"Jt"</c:formatCode>
                <c:ptCount val="12"/>
                <c:pt idx="0">
                  <c:v>4185000</c:v>
                </c:pt>
                <c:pt idx="1">
                  <c:v>4551000</c:v>
                </c:pt>
                <c:pt idx="2">
                  <c:v>2846000</c:v>
                </c:pt>
                <c:pt idx="3">
                  <c:v>2719000</c:v>
                </c:pt>
                <c:pt idx="4">
                  <c:v>1722000</c:v>
                </c:pt>
                <c:pt idx="5">
                  <c:v>1721000</c:v>
                </c:pt>
                <c:pt idx="6">
                  <c:v>4674000</c:v>
                </c:pt>
                <c:pt idx="7">
                  <c:v>2013000</c:v>
                </c:pt>
                <c:pt idx="8">
                  <c:v>1320000</c:v>
                </c:pt>
                <c:pt idx="9">
                  <c:v>2456000</c:v>
                </c:pt>
                <c:pt idx="10">
                  <c:v>3182000</c:v>
                </c:pt>
                <c:pt idx="11">
                  <c:v>3483000</c:v>
                </c:pt>
              </c:numCache>
            </c:numRef>
          </c:val>
          <c:smooth val="0"/>
          <c:extLst>
            <c:ext xmlns:c16="http://schemas.microsoft.com/office/drawing/2014/chart" uri="{C3380CC4-5D6E-409C-BE32-E72D297353CC}">
              <c16:uniqueId val="{00000009-7194-4054-9728-D7AADD5A2649}"/>
            </c:ext>
          </c:extLst>
        </c:ser>
        <c:ser>
          <c:idx val="3"/>
          <c:order val="3"/>
          <c:tx>
            <c:strRef>
              <c:f>ANALISIS!$E$167:$E$168</c:f>
              <c:strCache>
                <c:ptCount val="1"/>
                <c:pt idx="0">
                  <c:v>Olahraga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ANALISIS!$A$169:$A$181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ANALISIS!$E$169:$E$181</c:f>
              <c:numCache>
                <c:formatCode>\ \ \ "Rp"#,##0.0,,"Jt"</c:formatCode>
                <c:ptCount val="12"/>
                <c:pt idx="0">
                  <c:v>5024000</c:v>
                </c:pt>
                <c:pt idx="1">
                  <c:v>2307000</c:v>
                </c:pt>
                <c:pt idx="2">
                  <c:v>2200000</c:v>
                </c:pt>
                <c:pt idx="3">
                  <c:v>6343000</c:v>
                </c:pt>
                <c:pt idx="4">
                  <c:v>4345000</c:v>
                </c:pt>
                <c:pt idx="5">
                  <c:v>4148000</c:v>
                </c:pt>
                <c:pt idx="6">
                  <c:v>2118000</c:v>
                </c:pt>
                <c:pt idx="7">
                  <c:v>3511000</c:v>
                </c:pt>
                <c:pt idx="8">
                  <c:v>2984000</c:v>
                </c:pt>
                <c:pt idx="9">
                  <c:v>8409000</c:v>
                </c:pt>
                <c:pt idx="10">
                  <c:v>4508000</c:v>
                </c:pt>
                <c:pt idx="11">
                  <c:v>6629000</c:v>
                </c:pt>
              </c:numCache>
            </c:numRef>
          </c:val>
          <c:smooth val="0"/>
          <c:extLst>
            <c:ext xmlns:c16="http://schemas.microsoft.com/office/drawing/2014/chart" uri="{C3380CC4-5D6E-409C-BE32-E72D297353CC}">
              <c16:uniqueId val="{0000000A-7194-4054-9728-D7AADD5A2649}"/>
            </c:ext>
          </c:extLst>
        </c:ser>
        <c:ser>
          <c:idx val="4"/>
          <c:order val="4"/>
          <c:tx>
            <c:strRef>
              <c:f>ANALISIS!$F$167:$F$168</c:f>
              <c:strCache>
                <c:ptCount val="1"/>
                <c:pt idx="0">
                  <c:v>Rumah Tangga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ANALISIS!$A$169:$A$181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ANALISIS!$F$169:$F$181</c:f>
              <c:numCache>
                <c:formatCode>\ \ \ "Rp"#,##0.0,,"Jt"</c:formatCode>
                <c:ptCount val="12"/>
                <c:pt idx="0">
                  <c:v>4573000</c:v>
                </c:pt>
                <c:pt idx="1">
                  <c:v>741000</c:v>
                </c:pt>
                <c:pt idx="2">
                  <c:v>3512000</c:v>
                </c:pt>
                <c:pt idx="3">
                  <c:v>396000</c:v>
                </c:pt>
                <c:pt idx="4">
                  <c:v>3463000</c:v>
                </c:pt>
                <c:pt idx="5">
                  <c:v>3430000</c:v>
                </c:pt>
                <c:pt idx="6">
                  <c:v>913000</c:v>
                </c:pt>
                <c:pt idx="7">
                  <c:v>6615000</c:v>
                </c:pt>
                <c:pt idx="8">
                  <c:v>1665000</c:v>
                </c:pt>
                <c:pt idx="9">
                  <c:v>3059000</c:v>
                </c:pt>
                <c:pt idx="10">
                  <c:v>2163000</c:v>
                </c:pt>
                <c:pt idx="11">
                  <c:v>4146000</c:v>
                </c:pt>
              </c:numCache>
            </c:numRef>
          </c:val>
          <c:smooth val="0"/>
          <c:extLst>
            <c:ext xmlns:c16="http://schemas.microsoft.com/office/drawing/2014/chart" uri="{C3380CC4-5D6E-409C-BE32-E72D297353CC}">
              <c16:uniqueId val="{0000000B-7194-4054-9728-D7AADD5A2649}"/>
            </c:ext>
          </c:extLst>
        </c:ser>
        <c:dLbls>
          <c:dLblPos val="t"/>
          <c:showLegendKey val="0"/>
          <c:showVal val="0"/>
          <c:showCatName val="0"/>
          <c:showSerName val="0"/>
          <c:showPercent val="0"/>
          <c:showBubbleSize val="0"/>
        </c:dLbls>
        <c:marker val="1"/>
        <c:smooth val="0"/>
        <c:axId val="998154832"/>
        <c:axId val="998161488"/>
      </c:lineChart>
      <c:catAx>
        <c:axId val="99815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98161488"/>
        <c:crosses val="autoZero"/>
        <c:auto val="1"/>
        <c:lblAlgn val="ctr"/>
        <c:lblOffset val="100"/>
        <c:noMultiLvlLbl val="0"/>
      </c:catAx>
      <c:valAx>
        <c:axId val="998161488"/>
        <c:scaling>
          <c:orientation val="minMax"/>
        </c:scaling>
        <c:delete val="0"/>
        <c:axPos val="l"/>
        <c:majorGridlines>
          <c:spPr>
            <a:ln w="9525" cap="flat" cmpd="sng" algn="ctr">
              <a:solidFill>
                <a:schemeClr val="tx1">
                  <a:lumMod val="15000"/>
                  <a:lumOff val="85000"/>
                </a:schemeClr>
              </a:solidFill>
              <a:round/>
            </a:ln>
            <a:effectLst/>
          </c:spPr>
        </c:majorGridlines>
        <c:numFmt formatCode="\ \ \ &quot;Rp&quot;#,##0.0,,&quot;J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98154832"/>
        <c:crosses val="autoZero"/>
        <c:crossBetween val="between"/>
      </c:valAx>
      <c:spPr>
        <a:noFill/>
        <a:ln>
          <a:noFill/>
        </a:ln>
        <a:effectLst/>
      </c:spPr>
    </c:plotArea>
    <c:legend>
      <c:legendPos val="r"/>
      <c:layout>
        <c:manualLayout>
          <c:xMode val="edge"/>
          <c:yMode val="edge"/>
          <c:x val="0.78718572273420107"/>
          <c:y val="0.17142808899259895"/>
          <c:w val="0.19348823177953103"/>
          <c:h val="0.77945997630766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6000"/>
            <a:lumOff val="9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glow rad="63500">
        <a:schemeClr val="accent1">
          <a:lumMod val="75000"/>
          <a:alpha val="40000"/>
        </a:schemeClr>
      </a:glow>
      <a:outerShdw blurRad="50800" dist="38100" dir="2700000" algn="tl" rotWithShape="0">
        <a:prstClr val="black">
          <a:alpha val="40000"/>
        </a:prstClr>
      </a:outerShdw>
      <a:softEdge rad="12700"/>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[Hasil_Analisis.xlsx]ANALISIS!AOVWilayah</c:name>
    <c:fmtId val="23"/>
  </c:pivotSource>
  <c:chart>
    <c:title>
      <c:tx>
        <c:rich>
          <a:bodyPr rot="0" spcFirstLastPara="1" vertOverflow="ellipsis" vert="horz" wrap="square" anchor="ctr" anchorCtr="1"/>
          <a:lstStyle/>
          <a:p>
            <a:pPr>
              <a:defRPr sz="1800" b="1" i="0" u="none" strike="noStrike" kern="1200" cap="all" spc="50" baseline="0">
                <a:solidFill>
                  <a:schemeClr val="tx1"/>
                </a:solidFill>
                <a:latin typeface="+mn-lt"/>
                <a:ea typeface="+mn-ea"/>
                <a:cs typeface="+mn-cs"/>
              </a:defRPr>
            </a:pPr>
            <a:r>
              <a:rPr lang="en-US"/>
              <a:t>AOV per Wilayah</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marker>
          <c:symbol val="circle"/>
          <c:size val="6"/>
          <c:spPr>
            <a:gradFill>
              <a:gsLst>
                <a:gs pos="0">
                  <a:schemeClr val="accent5"/>
                </a:gs>
                <a:gs pos="46000">
                  <a:schemeClr val="accent5"/>
                </a:gs>
                <a:gs pos="100000">
                  <a:schemeClr val="accent5">
                    <a:lumMod val="20000"/>
                    <a:lumOff val="80000"/>
                    <a:alpha val="0"/>
                  </a:schemeClr>
                </a:gs>
              </a:gsLst>
              <a:path path="circle">
                <a:fillToRect l="50000" t="-80000" r="50000" b="180000"/>
              </a:path>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pivotFmt>
      <c:pivotFmt>
        <c:idx val="15"/>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pivotFmt>
      <c:pivotFmt>
        <c:idx val="1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pivotFmt>
      <c:pivotFmt>
        <c:idx val="17"/>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pivotFmt>
      <c:pivotFmt>
        <c:idx val="18"/>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pivotFmt>
      <c:pivotFmt>
        <c:idx val="19"/>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pivotFmt>
      <c:pivotFmt>
        <c:idx val="20"/>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pivotFmt>
      <c:pivotFmt>
        <c:idx val="21"/>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pivotFmt>
      <c:pivotFmt>
        <c:idx val="22"/>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pivotFmt>
      <c:pivotFmt>
        <c:idx val="23"/>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pivotFmt>
      <c:pivotFmt>
        <c:idx val="24"/>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pivotFmt>
    </c:pivotFmts>
    <c:plotArea>
      <c:layout>
        <c:manualLayout>
          <c:layoutTarget val="inner"/>
          <c:xMode val="edge"/>
          <c:yMode val="edge"/>
          <c:x val="0.1457810140725509"/>
          <c:y val="0.2046133314193003"/>
          <c:w val="0.7951775460765953"/>
          <c:h val="0.68230339547671515"/>
        </c:manualLayout>
      </c:layout>
      <c:barChart>
        <c:barDir val="bar"/>
        <c:grouping val="clustered"/>
        <c:varyColors val="0"/>
        <c:ser>
          <c:idx val="0"/>
          <c:order val="0"/>
          <c:tx>
            <c:strRef>
              <c:f>ANALISIS!$K$33</c:f>
              <c:strCache>
                <c:ptCount val="1"/>
                <c:pt idx="0">
                  <c:v>Total</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invertIfNegative val="0"/>
          <c:dPt>
            <c:idx val="0"/>
            <c:invertIfNegative val="0"/>
            <c:bubble3D val="0"/>
            <c:extLst>
              <c:ext xmlns:c16="http://schemas.microsoft.com/office/drawing/2014/chart" uri="{C3380CC4-5D6E-409C-BE32-E72D297353CC}">
                <c16:uniqueId val="{00000001-9818-4BCD-8B4C-2D3481085DD8}"/>
              </c:ext>
            </c:extLst>
          </c:dPt>
          <c:dPt>
            <c:idx val="1"/>
            <c:invertIfNegative val="0"/>
            <c:bubble3D val="0"/>
            <c:extLst>
              <c:ext xmlns:c16="http://schemas.microsoft.com/office/drawing/2014/chart" uri="{C3380CC4-5D6E-409C-BE32-E72D297353CC}">
                <c16:uniqueId val="{00000003-1440-46AB-8011-F80F7F5A6A1A}"/>
              </c:ext>
            </c:extLst>
          </c:dPt>
          <c:dPt>
            <c:idx val="2"/>
            <c:invertIfNegative val="0"/>
            <c:bubble3D val="0"/>
            <c:extLst>
              <c:ext xmlns:c16="http://schemas.microsoft.com/office/drawing/2014/chart" uri="{C3380CC4-5D6E-409C-BE32-E72D297353CC}">
                <c16:uniqueId val="{00000005-1440-46AB-8011-F80F7F5A6A1A}"/>
              </c:ext>
            </c:extLst>
          </c:dPt>
          <c:dPt>
            <c:idx val="3"/>
            <c:invertIfNegative val="0"/>
            <c:bubble3D val="0"/>
            <c:extLst>
              <c:ext xmlns:c16="http://schemas.microsoft.com/office/drawing/2014/chart" uri="{C3380CC4-5D6E-409C-BE32-E72D297353CC}">
                <c16:uniqueId val="{00000007-1440-46AB-8011-F80F7F5A6A1A}"/>
              </c:ext>
            </c:extLst>
          </c:dPt>
          <c:dPt>
            <c:idx val="4"/>
            <c:invertIfNegative val="0"/>
            <c:bubble3D val="0"/>
            <c:extLst>
              <c:ext xmlns:c16="http://schemas.microsoft.com/office/drawing/2014/chart" uri="{C3380CC4-5D6E-409C-BE32-E72D297353CC}">
                <c16:uniqueId val="{00000009-1440-46AB-8011-F80F7F5A6A1A}"/>
              </c:ext>
            </c:extLst>
          </c:dPt>
          <c:dPt>
            <c:idx val="5"/>
            <c:invertIfNegative val="0"/>
            <c:bubble3D val="0"/>
            <c:extLst>
              <c:ext xmlns:c16="http://schemas.microsoft.com/office/drawing/2014/chart" uri="{C3380CC4-5D6E-409C-BE32-E72D297353CC}">
                <c16:uniqueId val="{0000000B-1440-46AB-8011-F80F7F5A6A1A}"/>
              </c:ext>
            </c:extLst>
          </c:dPt>
          <c:dPt>
            <c:idx val="6"/>
            <c:invertIfNegative val="0"/>
            <c:bubble3D val="0"/>
            <c:extLst>
              <c:ext xmlns:c16="http://schemas.microsoft.com/office/drawing/2014/chart" uri="{C3380CC4-5D6E-409C-BE32-E72D297353CC}">
                <c16:uniqueId val="{0000000D-1440-46AB-8011-F80F7F5A6A1A}"/>
              </c:ext>
            </c:extLst>
          </c:dPt>
          <c:dPt>
            <c:idx val="7"/>
            <c:invertIfNegative val="0"/>
            <c:bubble3D val="0"/>
            <c:extLst>
              <c:ext xmlns:c16="http://schemas.microsoft.com/office/drawing/2014/chart" uri="{C3380CC4-5D6E-409C-BE32-E72D297353CC}">
                <c16:uniqueId val="{0000000F-1440-46AB-8011-F80F7F5A6A1A}"/>
              </c:ext>
            </c:extLst>
          </c:dPt>
          <c:dPt>
            <c:idx val="8"/>
            <c:invertIfNegative val="0"/>
            <c:bubble3D val="0"/>
            <c:extLst>
              <c:ext xmlns:c16="http://schemas.microsoft.com/office/drawing/2014/chart" uri="{C3380CC4-5D6E-409C-BE32-E72D297353CC}">
                <c16:uniqueId val="{00000011-1440-46AB-8011-F80F7F5A6A1A}"/>
              </c:ext>
            </c:extLst>
          </c:dPt>
          <c:dPt>
            <c:idx val="9"/>
            <c:invertIfNegative val="0"/>
            <c:bubble3D val="0"/>
            <c:extLst>
              <c:ext xmlns:c16="http://schemas.microsoft.com/office/drawing/2014/chart" uri="{C3380CC4-5D6E-409C-BE32-E72D297353CC}">
                <c16:uniqueId val="{00000013-1440-46AB-8011-F80F7F5A6A1A}"/>
              </c:ext>
            </c:extLst>
          </c:dPt>
          <c:dPt>
            <c:idx val="10"/>
            <c:invertIfNegative val="0"/>
            <c:bubble3D val="0"/>
            <c:extLst>
              <c:ext xmlns:c16="http://schemas.microsoft.com/office/drawing/2014/chart" uri="{C3380CC4-5D6E-409C-BE32-E72D297353CC}">
                <c16:uniqueId val="{00000015-1440-46AB-8011-F80F7F5A6A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ANALISIS!$J$34:$J$45</c:f>
              <c:strCache>
                <c:ptCount val="11"/>
                <c:pt idx="0">
                  <c:v>Nn</c:v>
                </c:pt>
                <c:pt idx="1">
                  <c:v>Denpasar</c:v>
                </c:pt>
                <c:pt idx="2">
                  <c:v>Malang</c:v>
                </c:pt>
                <c:pt idx="3">
                  <c:v>Bandung</c:v>
                </c:pt>
                <c:pt idx="4">
                  <c:v>Palembang</c:v>
                </c:pt>
                <c:pt idx="5">
                  <c:v>Yogyakarta</c:v>
                </c:pt>
                <c:pt idx="6">
                  <c:v>Semarang</c:v>
                </c:pt>
                <c:pt idx="7">
                  <c:v>Jakarta</c:v>
                </c:pt>
                <c:pt idx="8">
                  <c:v>Medan</c:v>
                </c:pt>
                <c:pt idx="9">
                  <c:v>Makassar</c:v>
                </c:pt>
                <c:pt idx="10">
                  <c:v>Surabaya</c:v>
                </c:pt>
              </c:strCache>
            </c:strRef>
          </c:cat>
          <c:val>
            <c:numRef>
              <c:f>ANALISIS!$K$34:$K$45</c:f>
              <c:numCache>
                <c:formatCode>\ \ \ "Rp"#,##0.0,,"Jt"</c:formatCode>
                <c:ptCount val="11"/>
                <c:pt idx="0">
                  <c:v>666333.33333333337</c:v>
                </c:pt>
                <c:pt idx="1">
                  <c:v>988176.4705882353</c:v>
                </c:pt>
                <c:pt idx="2">
                  <c:v>1079120</c:v>
                </c:pt>
                <c:pt idx="3">
                  <c:v>1118208.3333333333</c:v>
                </c:pt>
                <c:pt idx="4">
                  <c:v>1216176.4705882352</c:v>
                </c:pt>
                <c:pt idx="5">
                  <c:v>1324562.5</c:v>
                </c:pt>
                <c:pt idx="6">
                  <c:v>1328333.3333333333</c:v>
                </c:pt>
                <c:pt idx="7">
                  <c:v>1331368.4210526317</c:v>
                </c:pt>
                <c:pt idx="8">
                  <c:v>1386920</c:v>
                </c:pt>
                <c:pt idx="9">
                  <c:v>1411680</c:v>
                </c:pt>
                <c:pt idx="10">
                  <c:v>1592090.9090909092</c:v>
                </c:pt>
              </c:numCache>
            </c:numRef>
          </c:val>
          <c:extLst>
            <c:ext xmlns:c16="http://schemas.microsoft.com/office/drawing/2014/chart" uri="{C3380CC4-5D6E-409C-BE32-E72D297353CC}">
              <c16:uniqueId val="{00000016-9818-4BCD-8B4C-2D3481085DD8}"/>
            </c:ext>
          </c:extLst>
        </c:ser>
        <c:dLbls>
          <c:dLblPos val="outEnd"/>
          <c:showLegendKey val="0"/>
          <c:showVal val="1"/>
          <c:showCatName val="0"/>
          <c:showSerName val="0"/>
          <c:showPercent val="0"/>
          <c:showBubbleSize val="0"/>
        </c:dLbls>
        <c:gapWidth val="326"/>
        <c:overlap val="-58"/>
        <c:axId val="1178709632"/>
        <c:axId val="1178701312"/>
      </c:barChart>
      <c:valAx>
        <c:axId val="1178701312"/>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 \ \ &quot;Rp&quot;#,##0.0,,&quot;J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78709632"/>
        <c:crosses val="autoZero"/>
        <c:crossBetween val="between"/>
      </c:valAx>
      <c:catAx>
        <c:axId val="117870963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7870131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3600000" scaled="0"/>
    </a:gradFill>
    <a:ln w="9525" cap="flat" cmpd="sng" algn="ctr">
      <a:noFill/>
      <a:round/>
    </a:ln>
    <a:effectLst>
      <a:glow rad="63500">
        <a:schemeClr val="accent1">
          <a:lumMod val="75000"/>
          <a:alpha val="40000"/>
        </a:schemeClr>
      </a:glow>
      <a:outerShdw blurRad="50800" dist="38100" dir="2700000" algn="tl" rotWithShape="0">
        <a:schemeClr val="accent1">
          <a:lumMod val="50000"/>
          <a:alpha val="40000"/>
        </a:schemeClr>
      </a:outerShdw>
      <a:softEdge rad="12700"/>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[Hasil_Analisis.xlsx]ANALISIS!5_Produk_Terlaris</c:name>
    <c:fmtId val="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b="1">
                <a:solidFill>
                  <a:sysClr val="windowText" lastClr="000000"/>
                </a:solidFill>
              </a:rPr>
              <a:t>5 Produk Terlaris</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
        <c:idx val="27"/>
      </c:pivotFmt>
      <c:pivotFmt>
        <c:idx val="28"/>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0"/>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1"/>
        <c:spPr>
          <a:solidFill>
            <a:schemeClr val="accent3"/>
          </a:solidFill>
          <a:ln>
            <a:noFill/>
          </a:ln>
          <a:effectLst>
            <a:outerShdw blurRad="63500" sx="102000" sy="102000" algn="ctr" rotWithShape="0">
              <a:prstClr val="black">
                <a:alpha val="20000"/>
              </a:prstClr>
            </a:outerShdw>
          </a:effectLst>
        </c:spPr>
        <c:dLbl>
          <c:idx val="0"/>
          <c:layout>
            <c:manualLayout>
              <c:x val="-7.0809157240933285E-2"/>
              <c:y val="-2.585401371687751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2"/>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3"/>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7"/>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9"/>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5"/>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9"/>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0"/>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2"/>
      </c:pivotFmt>
      <c:pivotFmt>
        <c:idx val="53"/>
      </c:pivotFmt>
      <c:pivotFmt>
        <c:idx val="54"/>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5"/>
      </c:pivotFmt>
      <c:pivotFmt>
        <c:idx val="56"/>
      </c:pivotFmt>
      <c:pivotFmt>
        <c:idx val="57"/>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8"/>
      </c:pivotFmt>
      <c:pivotFmt>
        <c:idx val="59"/>
      </c:pivotFmt>
      <c:pivotFmt>
        <c:idx val="60"/>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1"/>
      </c:pivotFmt>
      <c:pivotFmt>
        <c:idx val="62"/>
      </c:pivotFmt>
      <c:pivotFmt>
        <c:idx val="6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4"/>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5"/>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6"/>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7"/>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8"/>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9"/>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0"/>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2"/>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4"/>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5"/>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6"/>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7"/>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8"/>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9"/>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24437707553877"/>
          <c:y val="0.2776169878700509"/>
          <c:w val="0.52596788190061883"/>
          <c:h val="0.59113950626390821"/>
        </c:manualLayout>
      </c:layout>
      <c:pieChart>
        <c:varyColors val="1"/>
        <c:ser>
          <c:idx val="0"/>
          <c:order val="0"/>
          <c:tx>
            <c:strRef>
              <c:f>ANALISIS!$H$73</c:f>
              <c:strCache>
                <c:ptCount val="1"/>
                <c:pt idx="0">
                  <c:v>Total Penjualan</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9C23-4FBA-BD02-F5A551658871}"/>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C23-4FBA-BD02-F5A551658871}"/>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9C23-4FBA-BD02-F5A551658871}"/>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9C23-4FBA-BD02-F5A551658871}"/>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9C23-4FBA-BD02-F5A551658871}"/>
              </c:ext>
            </c:extLst>
          </c:dPt>
          <c:dLbls>
            <c:dLbl>
              <c:idx val="2"/>
              <c:layout>
                <c:manualLayout>
                  <c:x val="-7.0809157240933285E-2"/>
                  <c:y val="-2.585401371687751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C23-4FBA-BD02-F5A55165887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ANALISIS!$G$74:$G$79</c:f>
              <c:strCache>
                <c:ptCount val="5"/>
                <c:pt idx="0">
                  <c:v>Mouse Wireless</c:v>
                </c:pt>
                <c:pt idx="1">
                  <c:v>Celana Jeans</c:v>
                </c:pt>
                <c:pt idx="2">
                  <c:v>Kaos Polos</c:v>
                </c:pt>
                <c:pt idx="3">
                  <c:v>Kemeja Flanel</c:v>
                </c:pt>
                <c:pt idx="4">
                  <c:v>Jaket Hoodie</c:v>
                </c:pt>
              </c:strCache>
            </c:strRef>
          </c:cat>
          <c:val>
            <c:numRef>
              <c:f>ANALISIS!$H$74:$H$79</c:f>
              <c:numCache>
                <c:formatCode>"Rp"#,##0</c:formatCode>
                <c:ptCount val="5"/>
                <c:pt idx="0">
                  <c:v>28825000</c:v>
                </c:pt>
                <c:pt idx="1">
                  <c:v>19709000</c:v>
                </c:pt>
                <c:pt idx="2">
                  <c:v>18355000</c:v>
                </c:pt>
                <c:pt idx="3">
                  <c:v>17702000</c:v>
                </c:pt>
                <c:pt idx="4">
                  <c:v>16739000</c:v>
                </c:pt>
              </c:numCache>
            </c:numRef>
          </c:val>
          <c:extLst>
            <c:ext xmlns:c16="http://schemas.microsoft.com/office/drawing/2014/chart" uri="{C3380CC4-5D6E-409C-BE32-E72D297353CC}">
              <c16:uniqueId val="{0000000A-9C23-4FBA-BD02-F5A551658871}"/>
            </c:ext>
          </c:extLst>
        </c:ser>
        <c:ser>
          <c:idx val="1"/>
          <c:order val="1"/>
          <c:tx>
            <c:strRef>
              <c:f>ANALISIS!$I$73</c:f>
              <c:strCache>
                <c:ptCount val="1"/>
                <c:pt idx="0">
                  <c:v>Kontribusi</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9C23-4FBA-BD02-F5A551658871}"/>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9C23-4FBA-BD02-F5A551658871}"/>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9C23-4FBA-BD02-F5A551658871}"/>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9C23-4FBA-BD02-F5A551658871}"/>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9C23-4FBA-BD02-F5A55165887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ANALISIS!$G$74:$G$79</c:f>
              <c:strCache>
                <c:ptCount val="5"/>
                <c:pt idx="0">
                  <c:v>Mouse Wireless</c:v>
                </c:pt>
                <c:pt idx="1">
                  <c:v>Celana Jeans</c:v>
                </c:pt>
                <c:pt idx="2">
                  <c:v>Kaos Polos</c:v>
                </c:pt>
                <c:pt idx="3">
                  <c:v>Kemeja Flanel</c:v>
                </c:pt>
                <c:pt idx="4">
                  <c:v>Jaket Hoodie</c:v>
                </c:pt>
              </c:strCache>
            </c:strRef>
          </c:cat>
          <c:val>
            <c:numRef>
              <c:f>ANALISIS!$I$74:$I$79</c:f>
              <c:numCache>
                <c:formatCode>0.00%</c:formatCode>
                <c:ptCount val="5"/>
                <c:pt idx="0">
                  <c:v>0.28446659429586502</c:v>
                </c:pt>
                <c:pt idx="1">
                  <c:v>0.19450310865488996</c:v>
                </c:pt>
                <c:pt idx="2">
                  <c:v>0.18114082700088818</c:v>
                </c:pt>
                <c:pt idx="3">
                  <c:v>0.17469653607026547</c:v>
                </c:pt>
                <c:pt idx="4">
                  <c:v>0.16519293397809137</c:v>
                </c:pt>
              </c:numCache>
            </c:numRef>
          </c:val>
          <c:extLst>
            <c:ext xmlns:c16="http://schemas.microsoft.com/office/drawing/2014/chart" uri="{C3380CC4-5D6E-409C-BE32-E72D297353CC}">
              <c16:uniqueId val="{00000015-9C23-4FBA-BD02-F5A551658871}"/>
            </c:ext>
          </c:extLst>
        </c:ser>
        <c:ser>
          <c:idx val="2"/>
          <c:order val="2"/>
          <c:tx>
            <c:strRef>
              <c:f>ANALISIS!$J$73</c:f>
              <c:strCache>
                <c:ptCount val="1"/>
                <c:pt idx="0">
                  <c:v>Jumlah terjual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9C23-4FBA-BD02-F5A551658871}"/>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9C23-4FBA-BD02-F5A551658871}"/>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9C23-4FBA-BD02-F5A551658871}"/>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9C23-4FBA-BD02-F5A551658871}"/>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9C23-4FBA-BD02-F5A55165887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ANALISIS!$G$74:$G$79</c:f>
              <c:strCache>
                <c:ptCount val="5"/>
                <c:pt idx="0">
                  <c:v>Mouse Wireless</c:v>
                </c:pt>
                <c:pt idx="1">
                  <c:v>Celana Jeans</c:v>
                </c:pt>
                <c:pt idx="2">
                  <c:v>Kaos Polos</c:v>
                </c:pt>
                <c:pt idx="3">
                  <c:v>Kemeja Flanel</c:v>
                </c:pt>
                <c:pt idx="4">
                  <c:v>Jaket Hoodie</c:v>
                </c:pt>
              </c:strCache>
            </c:strRef>
          </c:cat>
          <c:val>
            <c:numRef>
              <c:f>ANALISIS!$J$74:$J$79</c:f>
              <c:numCache>
                <c:formatCode>General</c:formatCode>
                <c:ptCount val="5"/>
                <c:pt idx="0">
                  <c:v>175</c:v>
                </c:pt>
                <c:pt idx="1">
                  <c:v>146</c:v>
                </c:pt>
                <c:pt idx="2">
                  <c:v>158</c:v>
                </c:pt>
                <c:pt idx="3">
                  <c:v>184</c:v>
                </c:pt>
                <c:pt idx="4">
                  <c:v>161</c:v>
                </c:pt>
              </c:numCache>
            </c:numRef>
          </c:val>
          <c:extLst>
            <c:ext xmlns:c16="http://schemas.microsoft.com/office/drawing/2014/chart" uri="{C3380CC4-5D6E-409C-BE32-E72D297353CC}">
              <c16:uniqueId val="{00000020-9C23-4FBA-BD02-F5A551658871}"/>
            </c:ext>
          </c:extLst>
        </c:ser>
        <c:ser>
          <c:idx val="3"/>
          <c:order val="3"/>
          <c:tx>
            <c:strRef>
              <c:f>ANALISIS!$K$73</c:f>
              <c:strCache>
                <c:ptCount val="1"/>
                <c:pt idx="0">
                  <c:v>Jumlah Transaksi</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2-9C23-4FBA-BD02-F5A551658871}"/>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4-9C23-4FBA-BD02-F5A551658871}"/>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6-9C23-4FBA-BD02-F5A551658871}"/>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9C23-4FBA-BD02-F5A551658871}"/>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A-9C23-4FBA-BD02-F5A55165887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ANALISIS!$G$74:$G$79</c:f>
              <c:strCache>
                <c:ptCount val="5"/>
                <c:pt idx="0">
                  <c:v>Mouse Wireless</c:v>
                </c:pt>
                <c:pt idx="1">
                  <c:v>Celana Jeans</c:v>
                </c:pt>
                <c:pt idx="2">
                  <c:v>Kaos Polos</c:v>
                </c:pt>
                <c:pt idx="3">
                  <c:v>Kemeja Flanel</c:v>
                </c:pt>
                <c:pt idx="4">
                  <c:v>Jaket Hoodie</c:v>
                </c:pt>
              </c:strCache>
            </c:strRef>
          </c:cat>
          <c:val>
            <c:numRef>
              <c:f>ANALISIS!$K$74:$K$79</c:f>
              <c:numCache>
                <c:formatCode>General</c:formatCode>
                <c:ptCount val="5"/>
                <c:pt idx="0">
                  <c:v>12</c:v>
                </c:pt>
                <c:pt idx="1">
                  <c:v>11</c:v>
                </c:pt>
                <c:pt idx="2">
                  <c:v>11</c:v>
                </c:pt>
                <c:pt idx="3">
                  <c:v>11</c:v>
                </c:pt>
                <c:pt idx="4">
                  <c:v>12</c:v>
                </c:pt>
              </c:numCache>
            </c:numRef>
          </c:val>
          <c:extLst>
            <c:ext xmlns:c16="http://schemas.microsoft.com/office/drawing/2014/chart" uri="{C3380CC4-5D6E-409C-BE32-E72D297353CC}">
              <c16:uniqueId val="{0000002B-9C23-4FBA-BD02-F5A551658871}"/>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3600000" scaled="0"/>
    </a:gradFill>
    <a:ln w="9525" cap="rnd" cmpd="sng" algn="ctr">
      <a:solidFill>
        <a:schemeClr val="tx1">
          <a:lumMod val="15000"/>
          <a:lumOff val="85000"/>
        </a:schemeClr>
      </a:solidFill>
      <a:round/>
    </a:ln>
    <a:effectLst>
      <a:glow rad="63500">
        <a:schemeClr val="accent1">
          <a:lumMod val="75000"/>
          <a:alpha val="40000"/>
        </a:schemeClr>
      </a:glow>
      <a:outerShdw blurRad="50800" dist="38100" dir="2700000" algn="tl" rotWithShape="0">
        <a:schemeClr val="accent1">
          <a:lumMod val="50000"/>
          <a:alpha val="40000"/>
        </a:scheme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[Hasil_Analisis.xlsx]ANALISIS!5_Produk_Terendah</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solidFill>
                  <a:sysClr val="windowText" lastClr="000000"/>
                </a:solidFill>
              </a:rPr>
              <a:t>5 Produk Penjualan Terendah</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pivotFmt>
      <c:pivotFmt>
        <c:idx val="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pivotFmt>
      <c:pivotFmt>
        <c:idx val="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
        <c:idx val="27"/>
      </c:pivotFmt>
      <c:pivotFmt>
        <c:idx val="28"/>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27637470905026662"/>
                  <c:h val="0.22288179591289337"/>
                </c:manualLayout>
              </c15:layout>
            </c:ext>
          </c:extLst>
        </c:dLbl>
      </c:pivotFmt>
      <c:pivotFmt>
        <c:idx val="30"/>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2212153155123712"/>
                  <c:h val="0.17038732381248795"/>
                </c:manualLayout>
              </c15:layout>
            </c:ext>
          </c:extLst>
        </c:dLbl>
      </c:pivotFmt>
      <c:pivotFmt>
        <c:idx val="31"/>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24666292384829094"/>
                  <c:h val="0.22288179591289337"/>
                </c:manualLayout>
              </c15:layout>
            </c:ext>
          </c:extLst>
        </c:dLbl>
      </c:pivotFmt>
      <c:pivotFmt>
        <c:idx val="32"/>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24638393847635073"/>
                  <c:h val="0.22288179591289337"/>
                </c:manualLayout>
              </c15:layout>
            </c:ext>
          </c:extLst>
        </c:dLbl>
      </c:pivotFmt>
      <c:pivotFmt>
        <c:idx val="33"/>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7"/>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9"/>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5"/>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9"/>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0"/>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2"/>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4"/>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5"/>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6"/>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7"/>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8"/>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9"/>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0"/>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2"/>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4"/>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5"/>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6"/>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7"/>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8"/>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9"/>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0"/>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2"/>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s>
    <c:plotArea>
      <c:layout>
        <c:manualLayout>
          <c:layoutTarget val="inner"/>
          <c:xMode val="edge"/>
          <c:yMode val="edge"/>
          <c:x val="0.24631210817451901"/>
          <c:y val="0.30462715877251634"/>
          <c:w val="0.48547107020368535"/>
          <c:h val="0.53612795209224995"/>
        </c:manualLayout>
      </c:layout>
      <c:pieChart>
        <c:varyColors val="1"/>
        <c:ser>
          <c:idx val="0"/>
          <c:order val="0"/>
          <c:tx>
            <c:strRef>
              <c:f>ANALISIS!$N$73</c:f>
              <c:strCache>
                <c:ptCount val="1"/>
                <c:pt idx="0">
                  <c:v>Total Penjualan</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DD79-4D02-B9D6-03F6D93B275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D79-4D02-B9D6-03F6D93B275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D79-4D02-B9D6-03F6D93B275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DD79-4D02-B9D6-03F6D93B275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DD79-4D02-B9D6-03F6D93B2752}"/>
              </c:ext>
            </c:extLst>
          </c:dPt>
          <c:dLbls>
            <c:dLbl>
              <c:idx val="0"/>
              <c:dLblPos val="outEnd"/>
              <c:showLegendKey val="0"/>
              <c:showVal val="0"/>
              <c:showCatName val="1"/>
              <c:showSerName val="0"/>
              <c:showPercent val="1"/>
              <c:showBubbleSize val="0"/>
              <c:extLst>
                <c:ext xmlns:c15="http://schemas.microsoft.com/office/drawing/2012/chart" uri="{CE6537A1-D6FC-4f65-9D91-7224C49458BB}">
                  <c15:layout>
                    <c:manualLayout>
                      <c:w val="0.27637470905026662"/>
                      <c:h val="0.22288179591289337"/>
                    </c:manualLayout>
                  </c15:layout>
                </c:ext>
                <c:ext xmlns:c16="http://schemas.microsoft.com/office/drawing/2014/chart" uri="{C3380CC4-5D6E-409C-BE32-E72D297353CC}">
                  <c16:uniqueId val="{00000001-DD79-4D02-B9D6-03F6D93B2752}"/>
                </c:ext>
              </c:extLst>
            </c:dLbl>
            <c:dLbl>
              <c:idx val="1"/>
              <c:dLblPos val="outEnd"/>
              <c:showLegendKey val="0"/>
              <c:showVal val="0"/>
              <c:showCatName val="1"/>
              <c:showSerName val="0"/>
              <c:showPercent val="1"/>
              <c:showBubbleSize val="0"/>
              <c:extLst>
                <c:ext xmlns:c15="http://schemas.microsoft.com/office/drawing/2012/chart" uri="{CE6537A1-D6FC-4f65-9D91-7224C49458BB}">
                  <c15:layout>
                    <c:manualLayout>
                      <c:w val="0.2212153155123712"/>
                      <c:h val="0.17038732381248795"/>
                    </c:manualLayout>
                  </c15:layout>
                </c:ext>
                <c:ext xmlns:c16="http://schemas.microsoft.com/office/drawing/2014/chart" uri="{C3380CC4-5D6E-409C-BE32-E72D297353CC}">
                  <c16:uniqueId val="{00000003-DD79-4D02-B9D6-03F6D93B2752}"/>
                </c:ext>
              </c:extLst>
            </c:dLbl>
            <c:dLbl>
              <c:idx val="2"/>
              <c:dLblPos val="outEnd"/>
              <c:showLegendKey val="0"/>
              <c:showVal val="0"/>
              <c:showCatName val="1"/>
              <c:showSerName val="0"/>
              <c:showPercent val="1"/>
              <c:showBubbleSize val="0"/>
              <c:extLst>
                <c:ext xmlns:c15="http://schemas.microsoft.com/office/drawing/2012/chart" uri="{CE6537A1-D6FC-4f65-9D91-7224C49458BB}">
                  <c15:layout>
                    <c:manualLayout>
                      <c:w val="0.24666292384829094"/>
                      <c:h val="0.22288179591289337"/>
                    </c:manualLayout>
                  </c15:layout>
                </c:ext>
                <c:ext xmlns:c16="http://schemas.microsoft.com/office/drawing/2014/chart" uri="{C3380CC4-5D6E-409C-BE32-E72D297353CC}">
                  <c16:uniqueId val="{00000005-DD79-4D02-B9D6-03F6D93B2752}"/>
                </c:ext>
              </c:extLst>
            </c:dLbl>
            <c:dLbl>
              <c:idx val="3"/>
              <c:dLblPos val="outEnd"/>
              <c:showLegendKey val="0"/>
              <c:showVal val="0"/>
              <c:showCatName val="1"/>
              <c:showSerName val="0"/>
              <c:showPercent val="1"/>
              <c:showBubbleSize val="0"/>
              <c:extLst>
                <c:ext xmlns:c15="http://schemas.microsoft.com/office/drawing/2012/chart" uri="{CE6537A1-D6FC-4f65-9D91-7224C49458BB}">
                  <c15:layout>
                    <c:manualLayout>
                      <c:w val="0.24638393847635073"/>
                      <c:h val="0.22288179591289337"/>
                    </c:manualLayout>
                  </c15:layout>
                </c:ext>
                <c:ext xmlns:c16="http://schemas.microsoft.com/office/drawing/2014/chart" uri="{C3380CC4-5D6E-409C-BE32-E72D297353CC}">
                  <c16:uniqueId val="{00000007-DD79-4D02-B9D6-03F6D93B275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ANALISIS!$M$74:$M$79</c:f>
              <c:strCache>
                <c:ptCount val="5"/>
                <c:pt idx="0">
                  <c:v>Kotak Penyimpanan</c:v>
                </c:pt>
                <c:pt idx="1">
                  <c:v>Earphone Bluetooth</c:v>
                </c:pt>
                <c:pt idx="2">
                  <c:v>Rak Sepatu Lipat</c:v>
                </c:pt>
                <c:pt idx="3">
                  <c:v>Kabel Data USB-C</c:v>
                </c:pt>
                <c:pt idx="4">
                  <c:v>Sapu Lidi</c:v>
                </c:pt>
              </c:strCache>
            </c:strRef>
          </c:cat>
          <c:val>
            <c:numRef>
              <c:f>ANALISIS!$N$74:$N$79</c:f>
              <c:numCache>
                <c:formatCode>"Rp"#,##0</c:formatCode>
                <c:ptCount val="5"/>
                <c:pt idx="0">
                  <c:v>6630000</c:v>
                </c:pt>
                <c:pt idx="1">
                  <c:v>6408000</c:v>
                </c:pt>
                <c:pt idx="2">
                  <c:v>5660000</c:v>
                </c:pt>
                <c:pt idx="3">
                  <c:v>4178000</c:v>
                </c:pt>
                <c:pt idx="4">
                  <c:v>4134000</c:v>
                </c:pt>
              </c:numCache>
            </c:numRef>
          </c:val>
          <c:extLst>
            <c:ext xmlns:c16="http://schemas.microsoft.com/office/drawing/2014/chart" uri="{C3380CC4-5D6E-409C-BE32-E72D297353CC}">
              <c16:uniqueId val="{0000000A-DD79-4D02-B9D6-03F6D93B2752}"/>
            </c:ext>
          </c:extLst>
        </c:ser>
        <c:ser>
          <c:idx val="1"/>
          <c:order val="1"/>
          <c:tx>
            <c:strRef>
              <c:f>ANALISIS!$O$73</c:f>
              <c:strCache>
                <c:ptCount val="1"/>
                <c:pt idx="0">
                  <c:v>Kontribusi</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DD79-4D02-B9D6-03F6D93B275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DD79-4D02-B9D6-03F6D93B275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DD79-4D02-B9D6-03F6D93B275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DD79-4D02-B9D6-03F6D93B275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DD79-4D02-B9D6-03F6D93B275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ANALISIS!$M$74:$M$79</c:f>
              <c:strCache>
                <c:ptCount val="5"/>
                <c:pt idx="0">
                  <c:v>Kotak Penyimpanan</c:v>
                </c:pt>
                <c:pt idx="1">
                  <c:v>Earphone Bluetooth</c:v>
                </c:pt>
                <c:pt idx="2">
                  <c:v>Rak Sepatu Lipat</c:v>
                </c:pt>
                <c:pt idx="3">
                  <c:v>Kabel Data USB-C</c:v>
                </c:pt>
                <c:pt idx="4">
                  <c:v>Sapu Lidi</c:v>
                </c:pt>
              </c:strCache>
            </c:strRef>
          </c:cat>
          <c:val>
            <c:numRef>
              <c:f>ANALISIS!$O$74:$O$79</c:f>
              <c:numCache>
                <c:formatCode>0.00%</c:formatCode>
                <c:ptCount val="5"/>
                <c:pt idx="0">
                  <c:v>0.24546464272491669</c:v>
                </c:pt>
                <c:pt idx="1">
                  <c:v>0.23724546464272492</c:v>
                </c:pt>
                <c:pt idx="2">
                  <c:v>0.20955201777119586</c:v>
                </c:pt>
                <c:pt idx="3">
                  <c:v>0.15468345057386154</c:v>
                </c:pt>
                <c:pt idx="4">
                  <c:v>0.15305442428730101</c:v>
                </c:pt>
              </c:numCache>
            </c:numRef>
          </c:val>
          <c:extLst>
            <c:ext xmlns:c16="http://schemas.microsoft.com/office/drawing/2014/chart" uri="{C3380CC4-5D6E-409C-BE32-E72D297353CC}">
              <c16:uniqueId val="{00000015-DD79-4D02-B9D6-03F6D93B2752}"/>
            </c:ext>
          </c:extLst>
        </c:ser>
        <c:ser>
          <c:idx val="2"/>
          <c:order val="2"/>
          <c:tx>
            <c:strRef>
              <c:f>ANALISIS!$P$73</c:f>
              <c:strCache>
                <c:ptCount val="1"/>
                <c:pt idx="0">
                  <c:v>Jumlah terjual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DD79-4D02-B9D6-03F6D93B275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DD79-4D02-B9D6-03F6D93B275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DD79-4D02-B9D6-03F6D93B275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DD79-4D02-B9D6-03F6D93B275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DD79-4D02-B9D6-03F6D93B275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ANALISIS!$M$74:$M$79</c:f>
              <c:strCache>
                <c:ptCount val="5"/>
                <c:pt idx="0">
                  <c:v>Kotak Penyimpanan</c:v>
                </c:pt>
                <c:pt idx="1">
                  <c:v>Earphone Bluetooth</c:v>
                </c:pt>
                <c:pt idx="2">
                  <c:v>Rak Sepatu Lipat</c:v>
                </c:pt>
                <c:pt idx="3">
                  <c:v>Kabel Data USB-C</c:v>
                </c:pt>
                <c:pt idx="4">
                  <c:v>Sapu Lidi</c:v>
                </c:pt>
              </c:strCache>
            </c:strRef>
          </c:cat>
          <c:val>
            <c:numRef>
              <c:f>ANALISIS!$P$74:$P$79</c:f>
              <c:numCache>
                <c:formatCode>General</c:formatCode>
                <c:ptCount val="5"/>
                <c:pt idx="0">
                  <c:v>153</c:v>
                </c:pt>
                <c:pt idx="1">
                  <c:v>42</c:v>
                </c:pt>
                <c:pt idx="2">
                  <c:v>79</c:v>
                </c:pt>
                <c:pt idx="3">
                  <c:v>47</c:v>
                </c:pt>
                <c:pt idx="4">
                  <c:v>75</c:v>
                </c:pt>
              </c:numCache>
            </c:numRef>
          </c:val>
          <c:extLst>
            <c:ext xmlns:c16="http://schemas.microsoft.com/office/drawing/2014/chart" uri="{C3380CC4-5D6E-409C-BE32-E72D297353CC}">
              <c16:uniqueId val="{00000020-DD79-4D02-B9D6-03F6D93B2752}"/>
            </c:ext>
          </c:extLst>
        </c:ser>
        <c:ser>
          <c:idx val="3"/>
          <c:order val="3"/>
          <c:tx>
            <c:strRef>
              <c:f>ANALISIS!$Q$73</c:f>
              <c:strCache>
                <c:ptCount val="1"/>
                <c:pt idx="0">
                  <c:v>Jumlah Transaksi</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2-DD79-4D02-B9D6-03F6D93B275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4-DD79-4D02-B9D6-03F6D93B275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6-DD79-4D02-B9D6-03F6D93B275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DD79-4D02-B9D6-03F6D93B275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A-DD79-4D02-B9D6-03F6D93B275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ANALISIS!$M$74:$M$79</c:f>
              <c:strCache>
                <c:ptCount val="5"/>
                <c:pt idx="0">
                  <c:v>Kotak Penyimpanan</c:v>
                </c:pt>
                <c:pt idx="1">
                  <c:v>Earphone Bluetooth</c:v>
                </c:pt>
                <c:pt idx="2">
                  <c:v>Rak Sepatu Lipat</c:v>
                </c:pt>
                <c:pt idx="3">
                  <c:v>Kabel Data USB-C</c:v>
                </c:pt>
                <c:pt idx="4">
                  <c:v>Sapu Lidi</c:v>
                </c:pt>
              </c:strCache>
            </c:strRef>
          </c:cat>
          <c:val>
            <c:numRef>
              <c:f>ANALISIS!$Q$74:$Q$79</c:f>
              <c:numCache>
                <c:formatCode>General</c:formatCode>
                <c:ptCount val="5"/>
                <c:pt idx="0">
                  <c:v>11</c:v>
                </c:pt>
                <c:pt idx="1">
                  <c:v>3</c:v>
                </c:pt>
                <c:pt idx="2">
                  <c:v>6</c:v>
                </c:pt>
                <c:pt idx="3">
                  <c:v>5</c:v>
                </c:pt>
                <c:pt idx="4">
                  <c:v>6</c:v>
                </c:pt>
              </c:numCache>
            </c:numRef>
          </c:val>
          <c:extLst>
            <c:ext xmlns:c16="http://schemas.microsoft.com/office/drawing/2014/chart" uri="{C3380CC4-5D6E-409C-BE32-E72D297353CC}">
              <c16:uniqueId val="{0000002B-DD79-4D02-B9D6-03F6D93B2752}"/>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3600000" scaled="0"/>
    </a:gradFill>
    <a:ln w="9525" cap="rnd" cmpd="sng" algn="ctr">
      <a:solidFill>
        <a:schemeClr val="tx1">
          <a:lumMod val="15000"/>
          <a:lumOff val="85000"/>
        </a:schemeClr>
      </a:solidFill>
      <a:round/>
    </a:ln>
    <a:effectLst>
      <a:glow rad="63500">
        <a:schemeClr val="accent1">
          <a:lumMod val="75000"/>
          <a:alpha val="40000"/>
        </a:schemeClr>
      </a:glow>
      <a:outerShdw blurRad="50800" dist="38100" dir="2700000" algn="tl" rotWithShape="0">
        <a:schemeClr val="accent1">
          <a:lumMod val="50000"/>
          <a:alpha val="40000"/>
        </a:scheme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[Hasil_Analisis.xlsx]ANALISIS!Metode_Pembayaran</c:name>
    <c:fmtId val="9"/>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b="1">
                <a:solidFill>
                  <a:sysClr val="windowText" lastClr="000000"/>
                </a:solidFill>
              </a:rPr>
              <a:t>Metode Pembayaran</a:t>
            </a:r>
          </a:p>
        </c:rich>
      </c:tx>
      <c:layout>
        <c:manualLayout>
          <c:xMode val="edge"/>
          <c:yMode val="edge"/>
          <c:x val="0.1797046501262814"/>
          <c:y val="8.2309033951401225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2"/>
      </c:pivotFmt>
      <c:pivotFmt>
        <c:idx val="23"/>
      </c:pivotFmt>
      <c:pivotFmt>
        <c:idx val="24"/>
      </c:pivotFmt>
      <c:pivotFmt>
        <c:idx val="25"/>
      </c:pivotFmt>
      <c:pivotFmt>
        <c:idx val="26"/>
      </c:pivotFmt>
      <c:pivotFmt>
        <c:idx val="27"/>
      </c:pivotFmt>
      <c:pivotFmt>
        <c:idx val="2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9"/>
      </c:pivotFmt>
      <c:pivotFmt>
        <c:idx val="30"/>
      </c:pivotFmt>
      <c:pivotFmt>
        <c:idx val="31"/>
      </c:pivotFmt>
      <c:pivotFmt>
        <c:idx val="32"/>
      </c:pivotFmt>
      <c:pivotFmt>
        <c:idx val="33"/>
      </c:pivotFmt>
      <c:pivotFmt>
        <c:idx val="34"/>
      </c:pivotFmt>
      <c:pivotFmt>
        <c:idx val="3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6"/>
      </c:pivotFmt>
      <c:pivotFmt>
        <c:idx val="37"/>
      </c:pivotFmt>
      <c:pivotFmt>
        <c:idx val="38"/>
      </c:pivotFmt>
      <c:pivotFmt>
        <c:idx val="39"/>
      </c:pivotFmt>
      <c:pivotFmt>
        <c:idx val="40"/>
      </c:pivotFmt>
      <c:pivotFmt>
        <c:idx val="41"/>
      </c:pivotFmt>
      <c:pivotFmt>
        <c:idx val="42"/>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outerShdw blurRad="63500" sx="102000" sy="102000" algn="ctr" rotWithShape="0">
              <a:prstClr val="black">
                <a:alpha val="20000"/>
              </a:prstClr>
            </a:outerShdw>
          </a:effectLst>
        </c:spPr>
        <c:dLbl>
          <c:idx val="0"/>
          <c:layout>
            <c:manualLayout>
              <c:x val="7.4554295927134043E-2"/>
              <c:y val="-4.3010752688172043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4"/>
        <c:spPr>
          <a:solidFill>
            <a:schemeClr val="accent2"/>
          </a:solidFill>
          <a:ln>
            <a:noFill/>
          </a:ln>
          <a:effectLst>
            <a:outerShdw blurRad="63500" sx="102000" sy="102000" algn="ctr" rotWithShape="0">
              <a:prstClr val="black">
                <a:alpha val="20000"/>
              </a:prstClr>
            </a:outerShdw>
          </a:effectLst>
        </c:spPr>
        <c:dLbl>
          <c:idx val="0"/>
          <c:layout>
            <c:manualLayout>
              <c:x val="2.6094150334921965E-2"/>
              <c:y val="1.290322580645161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857715474389859"/>
                  <c:h val="0.11789247311827956"/>
                </c:manualLayout>
              </c15:layout>
            </c:ext>
          </c:extLst>
        </c:dLbl>
      </c:pivotFmt>
      <c:pivotFmt>
        <c:idx val="45"/>
        <c:spPr>
          <a:solidFill>
            <a:schemeClr val="accent3"/>
          </a:solidFill>
          <a:ln>
            <a:noFill/>
          </a:ln>
          <a:effectLst>
            <a:outerShdw blurRad="63500" sx="102000" sy="102000" algn="ctr" rotWithShape="0">
              <a:prstClr val="black">
                <a:alpha val="20000"/>
              </a:prstClr>
            </a:outerShdw>
          </a:effectLst>
        </c:spPr>
        <c:dLbl>
          <c:idx val="0"/>
          <c:layout>
            <c:manualLayout>
              <c:x val="-5.5915575184925494E-2"/>
              <c:y val="-2.15053763440860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6595395890649393"/>
                  <c:h val="0.17038726610786556"/>
                </c:manualLayout>
              </c15:layout>
            </c:ext>
          </c:extLst>
        </c:dLbl>
      </c:pivotFmt>
      <c:pivotFmt>
        <c:idx val="46"/>
        <c:spPr>
          <a:solidFill>
            <a:schemeClr val="accent4"/>
          </a:solidFill>
          <a:ln>
            <a:noFill/>
          </a:ln>
          <a:effectLst>
            <a:outerShdw blurRad="63500" sx="102000" sy="102000" algn="ctr" rotWithShape="0">
              <a:prstClr val="black">
                <a:alpha val="20000"/>
              </a:prstClr>
            </a:outerShdw>
          </a:effectLst>
        </c:spPr>
        <c:dLbl>
          <c:idx val="0"/>
          <c:layout>
            <c:manualLayout>
              <c:x val="-2.6094003574496913E-2"/>
              <c:y val="-9.462365591397857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7283564329350354"/>
                  <c:h val="0.11789247311827956"/>
                </c:manualLayout>
              </c15:layout>
            </c:ext>
          </c:extLst>
        </c:dLbl>
      </c:pivotFmt>
      <c:pivotFmt>
        <c:idx val="47"/>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27790113806839212"/>
                  <c:h val="0.17038726610786556"/>
                </c:manualLayout>
              </c15:layout>
            </c:ext>
          </c:extLst>
        </c:dLbl>
      </c:pivotFmt>
      <c:pivotFmt>
        <c:idx val="48"/>
        <c:spPr>
          <a:solidFill>
            <a:schemeClr val="accent6"/>
          </a:solidFill>
          <a:ln>
            <a:noFill/>
          </a:ln>
          <a:effectLst>
            <a:outerShdw blurRad="63500" sx="102000" sy="102000" algn="ctr" rotWithShape="0">
              <a:prstClr val="black">
                <a:alpha val="20000"/>
              </a:prstClr>
            </a:outerShdw>
          </a:effectLst>
        </c:spPr>
        <c:dLbl>
          <c:idx val="0"/>
          <c:layout>
            <c:manualLayout>
              <c:x val="0.14910873861469298"/>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3553970999552967"/>
                  <c:h val="0.11789247311827956"/>
                </c:manualLayout>
              </c15:layout>
            </c:ext>
          </c:extLst>
        </c:dLbl>
      </c:pivotFmt>
      <c:pivotFmt>
        <c:idx val="49"/>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1"/>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2"/>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3"/>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4"/>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5"/>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8"/>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9"/>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0"/>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1"/>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2"/>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7006238813225991"/>
          <c:y val="0.31848344763356196"/>
          <c:w val="0.48764086432497689"/>
          <c:h val="0.56264499195665063"/>
        </c:manualLayout>
      </c:layout>
      <c:pieChart>
        <c:varyColors val="1"/>
        <c:ser>
          <c:idx val="0"/>
          <c:order val="0"/>
          <c:tx>
            <c:strRef>
              <c:f>ANALISIS!$B$135</c:f>
              <c:strCache>
                <c:ptCount val="1"/>
                <c:pt idx="0">
                  <c:v>Sum of Total_Penjualan</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F132-47EB-9C1F-45FA86C08F69}"/>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F132-47EB-9C1F-45FA86C08F69}"/>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F132-47EB-9C1F-45FA86C08F69}"/>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F132-47EB-9C1F-45FA86C08F69}"/>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F132-47EB-9C1F-45FA86C08F69}"/>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F132-47EB-9C1F-45FA86C08F69}"/>
              </c:ext>
            </c:extLst>
          </c:dPt>
          <c:dLbls>
            <c:dLbl>
              <c:idx val="0"/>
              <c:layout>
                <c:manualLayout>
                  <c:x val="7.4554295927134043E-2"/>
                  <c:y val="-4.3010752688172043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132-47EB-9C1F-45FA86C08F69}"/>
                </c:ext>
              </c:extLst>
            </c:dLbl>
            <c:dLbl>
              <c:idx val="1"/>
              <c:layout>
                <c:manualLayout>
                  <c:x val="2.6094150334921965E-2"/>
                  <c:y val="1.290322580645161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857715474389859"/>
                      <c:h val="0.11789247311827956"/>
                    </c:manualLayout>
                  </c15:layout>
                </c:ext>
                <c:ext xmlns:c16="http://schemas.microsoft.com/office/drawing/2014/chart" uri="{C3380CC4-5D6E-409C-BE32-E72D297353CC}">
                  <c16:uniqueId val="{00000003-F132-47EB-9C1F-45FA86C08F69}"/>
                </c:ext>
              </c:extLst>
            </c:dLbl>
            <c:dLbl>
              <c:idx val="2"/>
              <c:layout>
                <c:manualLayout>
                  <c:x val="-5.5915575184925494E-2"/>
                  <c:y val="-2.150537634408602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595395890649393"/>
                      <c:h val="0.17038726610786556"/>
                    </c:manualLayout>
                  </c15:layout>
                </c:ext>
                <c:ext xmlns:c16="http://schemas.microsoft.com/office/drawing/2014/chart" uri="{C3380CC4-5D6E-409C-BE32-E72D297353CC}">
                  <c16:uniqueId val="{00000005-F132-47EB-9C1F-45FA86C08F69}"/>
                </c:ext>
              </c:extLst>
            </c:dLbl>
            <c:dLbl>
              <c:idx val="3"/>
              <c:layout>
                <c:manualLayout>
                  <c:x val="-2.6094003574496913E-2"/>
                  <c:y val="-9.4623655913978574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7283564329350354"/>
                      <c:h val="0.11789247311827956"/>
                    </c:manualLayout>
                  </c15:layout>
                </c:ext>
                <c:ext xmlns:c16="http://schemas.microsoft.com/office/drawing/2014/chart" uri="{C3380CC4-5D6E-409C-BE32-E72D297353CC}">
                  <c16:uniqueId val="{00000007-F132-47EB-9C1F-45FA86C08F69}"/>
                </c:ext>
              </c:extLst>
            </c:dLbl>
            <c:dLbl>
              <c:idx val="4"/>
              <c:dLblPos val="outEnd"/>
              <c:showLegendKey val="0"/>
              <c:showVal val="0"/>
              <c:showCatName val="1"/>
              <c:showSerName val="0"/>
              <c:showPercent val="1"/>
              <c:showBubbleSize val="0"/>
              <c:extLst>
                <c:ext xmlns:c15="http://schemas.microsoft.com/office/drawing/2012/chart" uri="{CE6537A1-D6FC-4f65-9D91-7224C49458BB}">
                  <c15:layout>
                    <c:manualLayout>
                      <c:w val="0.27790113806839212"/>
                      <c:h val="0.17038726610786556"/>
                    </c:manualLayout>
                  </c15:layout>
                </c:ext>
                <c:ext xmlns:c16="http://schemas.microsoft.com/office/drawing/2014/chart" uri="{C3380CC4-5D6E-409C-BE32-E72D297353CC}">
                  <c16:uniqueId val="{00000009-F132-47EB-9C1F-45FA86C08F69}"/>
                </c:ext>
              </c:extLst>
            </c:dLbl>
            <c:dLbl>
              <c:idx val="5"/>
              <c:layout>
                <c:manualLayout>
                  <c:x val="0.14910873861469298"/>
                  <c:y val="0"/>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3553970999552967"/>
                      <c:h val="0.11789247311827956"/>
                    </c:manualLayout>
                  </c15:layout>
                </c:ext>
                <c:ext xmlns:c16="http://schemas.microsoft.com/office/drawing/2014/chart" uri="{C3380CC4-5D6E-409C-BE32-E72D297353CC}">
                  <c16:uniqueId val="{0000000B-F132-47EB-9C1F-45FA86C08F6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ANALISIS!$A$136:$A$142</c:f>
              <c:strCache>
                <c:ptCount val="6"/>
                <c:pt idx="0">
                  <c:v>QRIS</c:v>
                </c:pt>
                <c:pt idx="1">
                  <c:v>E-Wallet</c:v>
                </c:pt>
                <c:pt idx="2">
                  <c:v>Kartu Kredit</c:v>
                </c:pt>
                <c:pt idx="3">
                  <c:v>COD</c:v>
                </c:pt>
                <c:pt idx="4">
                  <c:v>Transfer Bank</c:v>
                </c:pt>
                <c:pt idx="5">
                  <c:v>Nn</c:v>
                </c:pt>
              </c:strCache>
            </c:strRef>
          </c:cat>
          <c:val>
            <c:numRef>
              <c:f>ANALISIS!$B$136:$B$142</c:f>
              <c:numCache>
                <c:formatCode>"Rp"#,##0</c:formatCode>
                <c:ptCount val="6"/>
                <c:pt idx="0">
                  <c:v>80007000</c:v>
                </c:pt>
                <c:pt idx="1">
                  <c:v>53448000</c:v>
                </c:pt>
                <c:pt idx="2">
                  <c:v>51497000</c:v>
                </c:pt>
                <c:pt idx="3">
                  <c:v>48576000</c:v>
                </c:pt>
                <c:pt idx="4">
                  <c:v>41401000</c:v>
                </c:pt>
                <c:pt idx="5">
                  <c:v>5704000</c:v>
                </c:pt>
              </c:numCache>
            </c:numRef>
          </c:val>
          <c:extLst>
            <c:ext xmlns:c16="http://schemas.microsoft.com/office/drawing/2014/chart" uri="{C3380CC4-5D6E-409C-BE32-E72D297353CC}">
              <c16:uniqueId val="{0000000C-F132-47EB-9C1F-45FA86C08F69}"/>
            </c:ext>
          </c:extLst>
        </c:ser>
        <c:ser>
          <c:idx val="1"/>
          <c:order val="1"/>
          <c:tx>
            <c:strRef>
              <c:f>ANALISIS!$C$135</c:f>
              <c:strCache>
                <c:ptCount val="1"/>
                <c:pt idx="0">
                  <c:v>Count of Order_ID</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F132-47EB-9C1F-45FA86C08F69}"/>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F132-47EB-9C1F-45FA86C08F69}"/>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F132-47EB-9C1F-45FA86C08F69}"/>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F132-47EB-9C1F-45FA86C08F69}"/>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F132-47EB-9C1F-45FA86C08F69}"/>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8-F132-47EB-9C1F-45FA86C08F6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ANALISIS!$A$136:$A$142</c:f>
              <c:strCache>
                <c:ptCount val="6"/>
                <c:pt idx="0">
                  <c:v>QRIS</c:v>
                </c:pt>
                <c:pt idx="1">
                  <c:v>E-Wallet</c:v>
                </c:pt>
                <c:pt idx="2">
                  <c:v>Kartu Kredit</c:v>
                </c:pt>
                <c:pt idx="3">
                  <c:v>COD</c:v>
                </c:pt>
                <c:pt idx="4">
                  <c:v>Transfer Bank</c:v>
                </c:pt>
                <c:pt idx="5">
                  <c:v>Nn</c:v>
                </c:pt>
              </c:strCache>
            </c:strRef>
          </c:cat>
          <c:val>
            <c:numRef>
              <c:f>ANALISIS!$C$136:$C$142</c:f>
              <c:numCache>
                <c:formatCode>General</c:formatCode>
                <c:ptCount val="6"/>
                <c:pt idx="0">
                  <c:v>57</c:v>
                </c:pt>
                <c:pt idx="1">
                  <c:v>41</c:v>
                </c:pt>
                <c:pt idx="2">
                  <c:v>37</c:v>
                </c:pt>
                <c:pt idx="3">
                  <c:v>47</c:v>
                </c:pt>
                <c:pt idx="4">
                  <c:v>35</c:v>
                </c:pt>
                <c:pt idx="5">
                  <c:v>3</c:v>
                </c:pt>
              </c:numCache>
            </c:numRef>
          </c:val>
          <c:extLst>
            <c:ext xmlns:c16="http://schemas.microsoft.com/office/drawing/2014/chart" uri="{C3380CC4-5D6E-409C-BE32-E72D297353CC}">
              <c16:uniqueId val="{00000019-F132-47EB-9C1F-45FA86C08F69}"/>
            </c:ext>
          </c:extLst>
        </c:ser>
        <c:ser>
          <c:idx val="2"/>
          <c:order val="2"/>
          <c:tx>
            <c:strRef>
              <c:f>ANALISIS!$D$135</c:f>
              <c:strCache>
                <c:ptCount val="1"/>
                <c:pt idx="0">
                  <c:v>Average of Total_Penjualan2</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F132-47EB-9C1F-45FA86C08F69}"/>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F132-47EB-9C1F-45FA86C08F69}"/>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F132-47EB-9C1F-45FA86C08F69}"/>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F132-47EB-9C1F-45FA86C08F69}"/>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3-F132-47EB-9C1F-45FA86C08F69}"/>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F132-47EB-9C1F-45FA86C08F6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ANALISIS!$A$136:$A$142</c:f>
              <c:strCache>
                <c:ptCount val="6"/>
                <c:pt idx="0">
                  <c:v>QRIS</c:v>
                </c:pt>
                <c:pt idx="1">
                  <c:v>E-Wallet</c:v>
                </c:pt>
                <c:pt idx="2">
                  <c:v>Kartu Kredit</c:v>
                </c:pt>
                <c:pt idx="3">
                  <c:v>COD</c:v>
                </c:pt>
                <c:pt idx="4">
                  <c:v>Transfer Bank</c:v>
                </c:pt>
                <c:pt idx="5">
                  <c:v>Nn</c:v>
                </c:pt>
              </c:strCache>
            </c:strRef>
          </c:cat>
          <c:val>
            <c:numRef>
              <c:f>ANALISIS!$D$136:$D$142</c:f>
              <c:numCache>
                <c:formatCode>"Rp"#,##0</c:formatCode>
                <c:ptCount val="6"/>
                <c:pt idx="0">
                  <c:v>1403631.5789473683</c:v>
                </c:pt>
                <c:pt idx="1">
                  <c:v>1303609.756097561</c:v>
                </c:pt>
                <c:pt idx="2">
                  <c:v>1391810.8108108109</c:v>
                </c:pt>
                <c:pt idx="3">
                  <c:v>1033531.914893617</c:v>
                </c:pt>
                <c:pt idx="4">
                  <c:v>1182885.7142857143</c:v>
                </c:pt>
                <c:pt idx="5">
                  <c:v>1901333.3333333333</c:v>
                </c:pt>
              </c:numCache>
            </c:numRef>
          </c:val>
          <c:extLst>
            <c:ext xmlns:c16="http://schemas.microsoft.com/office/drawing/2014/chart" uri="{C3380CC4-5D6E-409C-BE32-E72D297353CC}">
              <c16:uniqueId val="{00000026-F132-47EB-9C1F-45FA86C08F69}"/>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rnd" cmpd="sng" algn="ctr">
      <a:solidFill>
        <a:schemeClr val="tx1">
          <a:lumMod val="15000"/>
          <a:lumOff val="85000"/>
        </a:schemeClr>
      </a:solidFill>
      <a:round/>
    </a:ln>
    <a:effectLst>
      <a:glow rad="63500">
        <a:schemeClr val="accent1">
          <a:lumMod val="75000"/>
          <a:alpha val="40000"/>
        </a:schemeClr>
      </a:glow>
      <a:outerShdw blurRad="50800" dist="38100" dir="2700000" algn="tl" rotWithShape="0">
        <a:schemeClr val="accent1">
          <a:lumMod val="50000"/>
          <a:alpha val="40000"/>
        </a:scheme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1">
  <a:schemeClr val="accent1"/>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Reversed" id="25">
  <a:schemeClr val="accent5"/>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image" Target="../media/image12.png"/><Relationship Id="rId18" Type="http://schemas.openxmlformats.org/officeDocument/2006/relationships/chart" Target="../charts/chart20.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image" Target="../media/image11.svg"/><Relationship Id="rId17" Type="http://schemas.openxmlformats.org/officeDocument/2006/relationships/image" Target="../media/image16.png"/><Relationship Id="rId2" Type="http://schemas.openxmlformats.org/officeDocument/2006/relationships/chart" Target="../charts/chart13.xml"/><Relationship Id="rId16" Type="http://schemas.openxmlformats.org/officeDocument/2006/relationships/image" Target="../media/image15.svg"/><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image" Target="../media/image10.png"/><Relationship Id="rId5" Type="http://schemas.openxmlformats.org/officeDocument/2006/relationships/chart" Target="../charts/chart16.xml"/><Relationship Id="rId15" Type="http://schemas.openxmlformats.org/officeDocument/2006/relationships/image" Target="../media/image14.png"/><Relationship Id="rId10" Type="http://schemas.openxmlformats.org/officeDocument/2006/relationships/image" Target="../media/image9.svg"/><Relationship Id="rId4" Type="http://schemas.openxmlformats.org/officeDocument/2006/relationships/chart" Target="../charts/chart15.xml"/><Relationship Id="rId9" Type="http://schemas.openxmlformats.org/officeDocument/2006/relationships/image" Target="../media/image8.png"/><Relationship Id="rId14" Type="http://schemas.openxmlformats.org/officeDocument/2006/relationships/image" Target="../media/image13.sv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45</xdr:row>
      <xdr:rowOff>104774</xdr:rowOff>
    </xdr:from>
    <xdr:to>
      <xdr:col>11</xdr:col>
      <xdr:colOff>409575</xdr:colOff>
      <xdr:row>63</xdr:row>
      <xdr:rowOff>19050</xdr:rowOff>
    </xdr:to>
    <xdr:pic>
      <xdr:nvPicPr>
        <xdr:cNvPr id="5" name="Picture 4">
          <a:extLst>
            <a:ext uri="{FF2B5EF4-FFF2-40B4-BE49-F238E27FC236}">
              <a16:creationId xmlns:a16="http://schemas.microsoft.com/office/drawing/2014/main" id="{31BC67B7-CCC7-407A-8D86-9FD3E63E4F1C}"/>
            </a:ext>
          </a:extLst>
        </xdr:cNvPr>
        <xdr:cNvPicPr>
          <a:picLocks noChangeAspect="1"/>
        </xdr:cNvPicPr>
      </xdr:nvPicPr>
      <xdr:blipFill rotWithShape="1">
        <a:blip xmlns:r="http://schemas.openxmlformats.org/officeDocument/2006/relationships" r:embed="rId1"/>
        <a:srcRect l="872" t="13893" r="27622" b="7867"/>
        <a:stretch/>
      </xdr:blipFill>
      <xdr:spPr>
        <a:xfrm>
          <a:off x="695325" y="11144249"/>
          <a:ext cx="4895850" cy="3924301"/>
        </a:xfrm>
        <a:prstGeom prst="rect">
          <a:avLst/>
        </a:prstGeom>
      </xdr:spPr>
    </xdr:pic>
    <xdr:clientData/>
  </xdr:twoCellAnchor>
  <xdr:twoCellAnchor editAs="oneCell">
    <xdr:from>
      <xdr:col>1</xdr:col>
      <xdr:colOff>47624</xdr:colOff>
      <xdr:row>127</xdr:row>
      <xdr:rowOff>161925</xdr:rowOff>
    </xdr:from>
    <xdr:to>
      <xdr:col>10</xdr:col>
      <xdr:colOff>329719</xdr:colOff>
      <xdr:row>145</xdr:row>
      <xdr:rowOff>76199</xdr:rowOff>
    </xdr:to>
    <xdr:pic>
      <xdr:nvPicPr>
        <xdr:cNvPr id="11" name="Picture 10">
          <a:extLst>
            <a:ext uri="{FF2B5EF4-FFF2-40B4-BE49-F238E27FC236}">
              <a16:creationId xmlns:a16="http://schemas.microsoft.com/office/drawing/2014/main" id="{91B49BEB-E18D-4485-A352-F38FAAF96C76}"/>
            </a:ext>
          </a:extLst>
        </xdr:cNvPr>
        <xdr:cNvPicPr>
          <a:picLocks noChangeAspect="1"/>
        </xdr:cNvPicPr>
      </xdr:nvPicPr>
      <xdr:blipFill rotWithShape="1">
        <a:blip xmlns:r="http://schemas.openxmlformats.org/officeDocument/2006/relationships" r:embed="rId2"/>
        <a:srcRect l="1523" t="10491" r="11220" b="9907"/>
        <a:stretch/>
      </xdr:blipFill>
      <xdr:spPr>
        <a:xfrm>
          <a:off x="657224" y="29422725"/>
          <a:ext cx="4396895" cy="3390899"/>
        </a:xfrm>
        <a:prstGeom prst="rect">
          <a:avLst/>
        </a:prstGeom>
      </xdr:spPr>
    </xdr:pic>
    <xdr:clientData/>
  </xdr:twoCellAnchor>
  <xdr:twoCellAnchor editAs="oneCell">
    <xdr:from>
      <xdr:col>1</xdr:col>
      <xdr:colOff>57151</xdr:colOff>
      <xdr:row>106</xdr:row>
      <xdr:rowOff>104775</xdr:rowOff>
    </xdr:from>
    <xdr:to>
      <xdr:col>11</xdr:col>
      <xdr:colOff>371579</xdr:colOff>
      <xdr:row>122</xdr:row>
      <xdr:rowOff>19051</xdr:rowOff>
    </xdr:to>
    <xdr:pic>
      <xdr:nvPicPr>
        <xdr:cNvPr id="12" name="Picture 11">
          <a:extLst>
            <a:ext uri="{FF2B5EF4-FFF2-40B4-BE49-F238E27FC236}">
              <a16:creationId xmlns:a16="http://schemas.microsoft.com/office/drawing/2014/main" id="{AEB8DD3E-EB5F-4EC5-92A5-8F9AACD0FE74}"/>
            </a:ext>
          </a:extLst>
        </xdr:cNvPr>
        <xdr:cNvPicPr>
          <a:picLocks noChangeAspect="1"/>
        </xdr:cNvPicPr>
      </xdr:nvPicPr>
      <xdr:blipFill rotWithShape="1">
        <a:blip xmlns:r="http://schemas.openxmlformats.org/officeDocument/2006/relationships" r:embed="rId3"/>
        <a:srcRect l="1622" t="17449" r="10635" b="8459"/>
        <a:stretch/>
      </xdr:blipFill>
      <xdr:spPr>
        <a:xfrm>
          <a:off x="666751" y="24917400"/>
          <a:ext cx="4886428" cy="3114676"/>
        </a:xfrm>
        <a:prstGeom prst="rect">
          <a:avLst/>
        </a:prstGeom>
      </xdr:spPr>
    </xdr:pic>
    <xdr:clientData/>
  </xdr:twoCellAnchor>
  <xdr:twoCellAnchor editAs="oneCell">
    <xdr:from>
      <xdr:col>0</xdr:col>
      <xdr:colOff>571500</xdr:colOff>
      <xdr:row>67</xdr:row>
      <xdr:rowOff>161924</xdr:rowOff>
    </xdr:from>
    <xdr:to>
      <xdr:col>11</xdr:col>
      <xdr:colOff>284755</xdr:colOff>
      <xdr:row>84</xdr:row>
      <xdr:rowOff>57149</xdr:rowOff>
    </xdr:to>
    <xdr:pic>
      <xdr:nvPicPr>
        <xdr:cNvPr id="13" name="Picture 12">
          <a:extLst>
            <a:ext uri="{FF2B5EF4-FFF2-40B4-BE49-F238E27FC236}">
              <a16:creationId xmlns:a16="http://schemas.microsoft.com/office/drawing/2014/main" id="{245F9C6C-5760-4A00-A4D2-FD088D91188E}"/>
            </a:ext>
          </a:extLst>
        </xdr:cNvPr>
        <xdr:cNvPicPr>
          <a:picLocks noChangeAspect="1"/>
        </xdr:cNvPicPr>
      </xdr:nvPicPr>
      <xdr:blipFill rotWithShape="1">
        <a:blip xmlns:r="http://schemas.openxmlformats.org/officeDocument/2006/relationships" r:embed="rId4"/>
        <a:srcRect l="11952" t="26476" r="10015" b="8250"/>
        <a:stretch/>
      </xdr:blipFill>
      <xdr:spPr>
        <a:xfrm>
          <a:off x="571500" y="16497299"/>
          <a:ext cx="4894855" cy="3419475"/>
        </a:xfrm>
        <a:prstGeom prst="rect">
          <a:avLst/>
        </a:prstGeom>
      </xdr:spPr>
    </xdr:pic>
    <xdr:clientData/>
  </xdr:twoCellAnchor>
  <xdr:twoCellAnchor editAs="oneCell">
    <xdr:from>
      <xdr:col>10</xdr:col>
      <xdr:colOff>447675</xdr:colOff>
      <xdr:row>128</xdr:row>
      <xdr:rowOff>38101</xdr:rowOff>
    </xdr:from>
    <xdr:to>
      <xdr:col>19</xdr:col>
      <xdr:colOff>403115</xdr:colOff>
      <xdr:row>133</xdr:row>
      <xdr:rowOff>66675</xdr:rowOff>
    </xdr:to>
    <xdr:pic>
      <xdr:nvPicPr>
        <xdr:cNvPr id="17" name="Picture 16">
          <a:extLst>
            <a:ext uri="{FF2B5EF4-FFF2-40B4-BE49-F238E27FC236}">
              <a16:creationId xmlns:a16="http://schemas.microsoft.com/office/drawing/2014/main" id="{39556F6C-5E9B-4BA3-ABF2-CDD32EAC84F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172075" y="29489401"/>
          <a:ext cx="4070240" cy="981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114299</xdr:colOff>
      <xdr:row>149</xdr:row>
      <xdr:rowOff>76199</xdr:rowOff>
    </xdr:from>
    <xdr:to>
      <xdr:col>19</xdr:col>
      <xdr:colOff>303946</xdr:colOff>
      <xdr:row>163</xdr:row>
      <xdr:rowOff>47625</xdr:rowOff>
    </xdr:to>
    <xdr:pic>
      <xdr:nvPicPr>
        <xdr:cNvPr id="20" name="Picture 19">
          <a:extLst>
            <a:ext uri="{FF2B5EF4-FFF2-40B4-BE49-F238E27FC236}">
              <a16:creationId xmlns:a16="http://schemas.microsoft.com/office/drawing/2014/main" id="{AA8537C5-C84A-44BA-B258-13F771C29CC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23899" y="33870899"/>
          <a:ext cx="8419247" cy="26384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180976</xdr:colOff>
      <xdr:row>177</xdr:row>
      <xdr:rowOff>66676</xdr:rowOff>
    </xdr:from>
    <xdr:to>
      <xdr:col>9</xdr:col>
      <xdr:colOff>405170</xdr:colOff>
      <xdr:row>194</xdr:row>
      <xdr:rowOff>38100</xdr:rowOff>
    </xdr:to>
    <xdr:pic>
      <xdr:nvPicPr>
        <xdr:cNvPr id="21" name="Picture 20">
          <a:extLst>
            <a:ext uri="{FF2B5EF4-FFF2-40B4-BE49-F238E27FC236}">
              <a16:creationId xmlns:a16="http://schemas.microsoft.com/office/drawing/2014/main" id="{B5A39CFF-BF7A-4FE3-A840-CFC532955F31}"/>
            </a:ext>
          </a:extLst>
        </xdr:cNvPr>
        <xdr:cNvPicPr>
          <a:picLocks noChangeAspect="1"/>
        </xdr:cNvPicPr>
      </xdr:nvPicPr>
      <xdr:blipFill rotWithShape="1">
        <a:blip xmlns:r="http://schemas.openxmlformats.org/officeDocument/2006/relationships" r:embed="rId7"/>
        <a:srcRect l="23826" t="19565" r="22154" b="3898"/>
        <a:stretch/>
      </xdr:blipFill>
      <xdr:spPr>
        <a:xfrm>
          <a:off x="790576" y="39557326"/>
          <a:ext cx="3881794" cy="34766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285750</xdr:colOff>
      <xdr:row>188</xdr:row>
      <xdr:rowOff>114300</xdr:rowOff>
    </xdr:from>
    <xdr:to>
      <xdr:col>7</xdr:col>
      <xdr:colOff>0</xdr:colOff>
      <xdr:row>206</xdr:row>
      <xdr:rowOff>152400</xdr:rowOff>
    </xdr:to>
    <xdr:graphicFrame macro="">
      <xdr:nvGraphicFramePr>
        <xdr:cNvPr id="12" name="Chart 11">
          <a:extLst>
            <a:ext uri="{FF2B5EF4-FFF2-40B4-BE49-F238E27FC236}">
              <a16:creationId xmlns:a16="http://schemas.microsoft.com/office/drawing/2014/main" id="{A5767CEE-996A-4A81-8B69-089D42AE3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351234</xdr:colOff>
      <xdr:row>46</xdr:row>
      <xdr:rowOff>21431</xdr:rowOff>
    </xdr:from>
    <xdr:to>
      <xdr:col>4</xdr:col>
      <xdr:colOff>523875</xdr:colOff>
      <xdr:row>63</xdr:row>
      <xdr:rowOff>35719</xdr:rowOff>
    </xdr:to>
    <xdr:graphicFrame macro="">
      <xdr:nvGraphicFramePr>
        <xdr:cNvPr id="3" name="Chart 2">
          <a:extLst>
            <a:ext uri="{FF2B5EF4-FFF2-40B4-BE49-F238E27FC236}">
              <a16:creationId xmlns:a16="http://schemas.microsoft.com/office/drawing/2014/main" id="{00A701CF-1011-4956-8F81-840FF6286C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446484</xdr:colOff>
      <xdr:row>80</xdr:row>
      <xdr:rowOff>57150</xdr:rowOff>
    </xdr:from>
    <xdr:to>
      <xdr:col>4</xdr:col>
      <xdr:colOff>815578</xdr:colOff>
      <xdr:row>99</xdr:row>
      <xdr:rowOff>11907</xdr:rowOff>
    </xdr:to>
    <xdr:graphicFrame macro="">
      <xdr:nvGraphicFramePr>
        <xdr:cNvPr id="6" name="Chart 5">
          <a:extLst>
            <a:ext uri="{FF2B5EF4-FFF2-40B4-BE49-F238E27FC236}">
              <a16:creationId xmlns:a16="http://schemas.microsoft.com/office/drawing/2014/main" id="{7D402EC9-537A-48A1-9DCF-2F1A35D90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315516</xdr:colOff>
      <xdr:row>110</xdr:row>
      <xdr:rowOff>188119</xdr:rowOff>
    </xdr:from>
    <xdr:to>
      <xdr:col>4</xdr:col>
      <xdr:colOff>940594</xdr:colOff>
      <xdr:row>126</xdr:row>
      <xdr:rowOff>59530</xdr:rowOff>
    </xdr:to>
    <xdr:graphicFrame macro="">
      <xdr:nvGraphicFramePr>
        <xdr:cNvPr id="8" name="Chart 7">
          <a:extLst>
            <a:ext uri="{FF2B5EF4-FFF2-40B4-BE49-F238E27FC236}">
              <a16:creationId xmlns:a16="http://schemas.microsoft.com/office/drawing/2014/main" id="{7F40E4D9-2912-4FFC-AC0D-4D4D7DE1A2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220264</xdr:colOff>
      <xdr:row>143</xdr:row>
      <xdr:rowOff>21429</xdr:rowOff>
    </xdr:from>
    <xdr:to>
      <xdr:col>4</xdr:col>
      <xdr:colOff>928687</xdr:colOff>
      <xdr:row>160</xdr:row>
      <xdr:rowOff>83342</xdr:rowOff>
    </xdr:to>
    <xdr:graphicFrame macro="">
      <xdr:nvGraphicFramePr>
        <xdr:cNvPr id="11" name="Chart 10">
          <a:extLst>
            <a:ext uri="{FF2B5EF4-FFF2-40B4-BE49-F238E27FC236}">
              <a16:creationId xmlns:a16="http://schemas.microsoft.com/office/drawing/2014/main" id="{95CC761B-9D47-437C-81AE-55576ED69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563165</xdr:colOff>
      <xdr:row>80</xdr:row>
      <xdr:rowOff>123824</xdr:rowOff>
    </xdr:from>
    <xdr:to>
      <xdr:col>13</xdr:col>
      <xdr:colOff>238125</xdr:colOff>
      <xdr:row>93</xdr:row>
      <xdr:rowOff>180975</xdr:rowOff>
    </xdr:to>
    <xdr:graphicFrame macro="">
      <xdr:nvGraphicFramePr>
        <xdr:cNvPr id="7" name="Chart 6">
          <a:extLst>
            <a:ext uri="{FF2B5EF4-FFF2-40B4-BE49-F238E27FC236}">
              <a16:creationId xmlns:a16="http://schemas.microsoft.com/office/drawing/2014/main" id="{A340C0E2-C80C-4135-828B-B8F7E8D468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458392</xdr:colOff>
      <xdr:row>110</xdr:row>
      <xdr:rowOff>104776</xdr:rowOff>
    </xdr:from>
    <xdr:to>
      <xdr:col>9</xdr:col>
      <xdr:colOff>345281</xdr:colOff>
      <xdr:row>126</xdr:row>
      <xdr:rowOff>71438</xdr:rowOff>
    </xdr:to>
    <xdr:graphicFrame macro="">
      <xdr:nvGraphicFramePr>
        <xdr:cNvPr id="9" name="Chart 8">
          <a:extLst>
            <a:ext uri="{FF2B5EF4-FFF2-40B4-BE49-F238E27FC236}">
              <a16:creationId xmlns:a16="http://schemas.microsoft.com/office/drawing/2014/main" id="{D73175F5-A2CB-48F8-B425-8747C697A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371475</xdr:colOff>
      <xdr:row>45</xdr:row>
      <xdr:rowOff>176212</xdr:rowOff>
    </xdr:from>
    <xdr:to>
      <xdr:col>11</xdr:col>
      <xdr:colOff>685800</xdr:colOff>
      <xdr:row>60</xdr:row>
      <xdr:rowOff>61912</xdr:rowOff>
    </xdr:to>
    <xdr:graphicFrame macro="">
      <xdr:nvGraphicFramePr>
        <xdr:cNvPr id="32" name="Chart 31">
          <a:extLst>
            <a:ext uri="{FF2B5EF4-FFF2-40B4-BE49-F238E27FC236}">
              <a16:creationId xmlns:a16="http://schemas.microsoft.com/office/drawing/2014/main" id="{6C897105-B7BD-4763-9EDD-4BC44C339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514350</xdr:colOff>
      <xdr:row>79</xdr:row>
      <xdr:rowOff>185736</xdr:rowOff>
    </xdr:from>
    <xdr:to>
      <xdr:col>18</xdr:col>
      <xdr:colOff>209550</xdr:colOff>
      <xdr:row>95</xdr:row>
      <xdr:rowOff>0</xdr:rowOff>
    </xdr:to>
    <xdr:graphicFrame macro="">
      <xdr:nvGraphicFramePr>
        <xdr:cNvPr id="33" name="Chart 32">
          <a:extLst>
            <a:ext uri="{FF2B5EF4-FFF2-40B4-BE49-F238E27FC236}">
              <a16:creationId xmlns:a16="http://schemas.microsoft.com/office/drawing/2014/main" id="{37DEEA00-42FA-400E-8210-6399229BE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352425</xdr:colOff>
      <xdr:row>80</xdr:row>
      <xdr:rowOff>28575</xdr:rowOff>
    </xdr:from>
    <xdr:to>
      <xdr:col>22</xdr:col>
      <xdr:colOff>371475</xdr:colOff>
      <xdr:row>94</xdr:row>
      <xdr:rowOff>180974</xdr:rowOff>
    </xdr:to>
    <xdr:graphicFrame macro="">
      <xdr:nvGraphicFramePr>
        <xdr:cNvPr id="34" name="Chart 33">
          <a:extLst>
            <a:ext uri="{FF2B5EF4-FFF2-40B4-BE49-F238E27FC236}">
              <a16:creationId xmlns:a16="http://schemas.microsoft.com/office/drawing/2014/main" id="{028ACC78-D701-4D25-8489-E0F797611B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506015</xdr:colOff>
      <xdr:row>3</xdr:row>
      <xdr:rowOff>92868</xdr:rowOff>
    </xdr:from>
    <xdr:to>
      <xdr:col>9</xdr:col>
      <xdr:colOff>595312</xdr:colOff>
      <xdr:row>19</xdr:row>
      <xdr:rowOff>130968</xdr:rowOff>
    </xdr:to>
    <xdr:graphicFrame macro="">
      <xdr:nvGraphicFramePr>
        <xdr:cNvPr id="2" name="Chart 1">
          <a:extLst>
            <a:ext uri="{FF2B5EF4-FFF2-40B4-BE49-F238E27FC236}">
              <a16:creationId xmlns:a16="http://schemas.microsoft.com/office/drawing/2014/main" id="{A4275876-1B67-441F-94CC-59B7C2F372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194659</xdr:colOff>
      <xdr:row>17</xdr:row>
      <xdr:rowOff>47625</xdr:rowOff>
    </xdr:from>
    <xdr:to>
      <xdr:col>10</xdr:col>
      <xdr:colOff>714374</xdr:colOff>
      <xdr:row>31</xdr:row>
      <xdr:rowOff>0</xdr:rowOff>
    </xdr:to>
    <xdr:graphicFrame macro="">
      <xdr:nvGraphicFramePr>
        <xdr:cNvPr id="4" name="Chart 3">
          <a:extLst>
            <a:ext uri="{FF2B5EF4-FFF2-40B4-BE49-F238E27FC236}">
              <a16:creationId xmlns:a16="http://schemas.microsoft.com/office/drawing/2014/main" id="{4E80E8FE-B555-4EC7-BA6D-69492E37D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11409</xdr:colOff>
      <xdr:row>11</xdr:row>
      <xdr:rowOff>63499</xdr:rowOff>
    </xdr:from>
    <xdr:to>
      <xdr:col>4</xdr:col>
      <xdr:colOff>2759</xdr:colOff>
      <xdr:row>19</xdr:row>
      <xdr:rowOff>127000</xdr:rowOff>
    </xdr:to>
    <mc:AlternateContent xmlns:mc="http://schemas.openxmlformats.org/markup-compatibility/2006" xmlns:a14="http://schemas.microsoft.com/office/drawing/2010/main">
      <mc:Choice Requires="a14">
        <xdr:graphicFrame macro="">
          <xdr:nvGraphicFramePr>
            <xdr:cNvPr id="5" name="Wilayah 2">
              <a:extLst>
                <a:ext uri="{FF2B5EF4-FFF2-40B4-BE49-F238E27FC236}">
                  <a16:creationId xmlns:a16="http://schemas.microsoft.com/office/drawing/2014/main" id="{C91FD0C6-5CCA-4835-BC8E-B1FD212404F5}"/>
                </a:ext>
              </a:extLst>
            </xdr:cNvPr>
            <xdr:cNvGraphicFramePr/>
          </xdr:nvGraphicFramePr>
          <xdr:xfrm>
            <a:off x="0" y="0"/>
            <a:ext cx="0" cy="0"/>
          </xdr:xfrm>
          <a:graphic>
            <a:graphicData uri="http://schemas.microsoft.com/office/drawing/2010/slicer">
              <sle:slicer xmlns:sle="http://schemas.microsoft.com/office/drawing/2010/slicer" name="Wilayah 2"/>
            </a:graphicData>
          </a:graphic>
        </xdr:graphicFrame>
      </mc:Choice>
      <mc:Fallback xmlns="">
        <xdr:sp macro="" textlink="">
          <xdr:nvSpPr>
            <xdr:cNvPr id="0" name=""/>
            <xdr:cNvSpPr>
              <a:spLocks noTextEdit="1"/>
            </xdr:cNvSpPr>
          </xdr:nvSpPr>
          <xdr:spPr>
            <a:xfrm>
              <a:off x="471784" y="2128692"/>
              <a:ext cx="1801100" cy="19035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10593</xdr:colOff>
      <xdr:row>28</xdr:row>
      <xdr:rowOff>63500</xdr:rowOff>
    </xdr:from>
    <xdr:to>
      <xdr:col>4</xdr:col>
      <xdr:colOff>4169</xdr:colOff>
      <xdr:row>35</xdr:row>
      <xdr:rowOff>34632</xdr:rowOff>
    </xdr:to>
    <mc:AlternateContent xmlns:mc="http://schemas.openxmlformats.org/markup-compatibility/2006">
      <mc:Choice xmlns:a14="http://schemas.microsoft.com/office/drawing/2010/main" Requires="a14">
        <xdr:graphicFrame macro="">
          <xdr:nvGraphicFramePr>
            <xdr:cNvPr id="6" name="Kategori_Produk 1">
              <a:extLst>
                <a:ext uri="{FF2B5EF4-FFF2-40B4-BE49-F238E27FC236}">
                  <a16:creationId xmlns:a16="http://schemas.microsoft.com/office/drawing/2014/main" id="{ED84F55E-C061-4587-9165-487367147BA2}"/>
                </a:ext>
              </a:extLst>
            </xdr:cNvPr>
            <xdr:cNvGraphicFramePr/>
          </xdr:nvGraphicFramePr>
          <xdr:xfrm>
            <a:off x="0" y="0"/>
            <a:ext cx="0" cy="0"/>
          </xdr:xfrm>
          <a:graphic>
            <a:graphicData uri="http://schemas.microsoft.com/office/drawing/2010/slicer">
              <sle:slicer xmlns:sle="http://schemas.microsoft.com/office/drawing/2010/slicer" name="Kategori_Produk 1"/>
            </a:graphicData>
          </a:graphic>
        </xdr:graphicFrame>
      </mc:Choice>
      <mc:Fallback>
        <xdr:sp macro="" textlink="">
          <xdr:nvSpPr>
            <xdr:cNvPr id="0" name=""/>
            <xdr:cNvSpPr>
              <a:spLocks noTextEdit="1"/>
            </xdr:cNvSpPr>
          </xdr:nvSpPr>
          <xdr:spPr>
            <a:xfrm>
              <a:off x="470968" y="5397500"/>
              <a:ext cx="1803326" cy="13046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12584</xdr:colOff>
      <xdr:row>35</xdr:row>
      <xdr:rowOff>111125</xdr:rowOff>
    </xdr:from>
    <xdr:to>
      <xdr:col>4</xdr:col>
      <xdr:colOff>1570</xdr:colOff>
      <xdr:row>40</xdr:row>
      <xdr:rowOff>187613</xdr:rowOff>
    </xdr:to>
    <mc:AlternateContent xmlns:mc="http://schemas.openxmlformats.org/markup-compatibility/2006">
      <mc:Choice xmlns:a14="http://schemas.microsoft.com/office/drawing/2010/main" Requires="a14">
        <xdr:graphicFrame macro="">
          <xdr:nvGraphicFramePr>
            <xdr:cNvPr id="7" name="Metode_Pembayaran 1">
              <a:extLst>
                <a:ext uri="{FF2B5EF4-FFF2-40B4-BE49-F238E27FC236}">
                  <a16:creationId xmlns:a16="http://schemas.microsoft.com/office/drawing/2014/main" id="{BBBC1D4A-BB54-4D73-B089-C7EF272B71E8}"/>
                </a:ext>
              </a:extLst>
            </xdr:cNvPr>
            <xdr:cNvGraphicFramePr/>
          </xdr:nvGraphicFramePr>
          <xdr:xfrm>
            <a:off x="0" y="0"/>
            <a:ext cx="0" cy="0"/>
          </xdr:xfrm>
          <a:graphic>
            <a:graphicData uri="http://schemas.microsoft.com/office/drawing/2010/slicer">
              <sle:slicer xmlns:sle="http://schemas.microsoft.com/office/drawing/2010/slicer" name="Metode_Pembayaran 1"/>
            </a:graphicData>
          </a:graphic>
        </xdr:graphicFrame>
      </mc:Choice>
      <mc:Fallback>
        <xdr:sp macro="" textlink="">
          <xdr:nvSpPr>
            <xdr:cNvPr id="0" name=""/>
            <xdr:cNvSpPr>
              <a:spLocks noTextEdit="1"/>
            </xdr:cNvSpPr>
          </xdr:nvSpPr>
          <xdr:spPr>
            <a:xfrm>
              <a:off x="472959" y="6778625"/>
              <a:ext cx="1798736" cy="10289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3263</xdr:colOff>
      <xdr:row>41</xdr:row>
      <xdr:rowOff>46412</xdr:rowOff>
    </xdr:from>
    <xdr:to>
      <xdr:col>4</xdr:col>
      <xdr:colOff>1418</xdr:colOff>
      <xdr:row>47</xdr:row>
      <xdr:rowOff>89739</xdr:rowOff>
    </xdr:to>
    <mc:AlternateContent xmlns:mc="http://schemas.openxmlformats.org/markup-compatibility/2006">
      <mc:Choice xmlns:a14="http://schemas.microsoft.com/office/drawing/2010/main" Requires="a14">
        <xdr:graphicFrame macro="">
          <xdr:nvGraphicFramePr>
            <xdr:cNvPr id="8" name="Segmen_Pelanggan 1">
              <a:extLst>
                <a:ext uri="{FF2B5EF4-FFF2-40B4-BE49-F238E27FC236}">
                  <a16:creationId xmlns:a16="http://schemas.microsoft.com/office/drawing/2014/main" id="{2F440137-7849-427C-83DB-93A694349819}"/>
                </a:ext>
              </a:extLst>
            </xdr:cNvPr>
            <xdr:cNvGraphicFramePr/>
          </xdr:nvGraphicFramePr>
          <xdr:xfrm>
            <a:off x="0" y="0"/>
            <a:ext cx="0" cy="0"/>
          </xdr:xfrm>
          <a:graphic>
            <a:graphicData uri="http://schemas.microsoft.com/office/drawing/2010/slicer">
              <sle:slicer xmlns:sle="http://schemas.microsoft.com/office/drawing/2010/slicer" name="Segmen_Pelanggan 1"/>
            </a:graphicData>
          </a:graphic>
        </xdr:graphicFrame>
      </mc:Choice>
      <mc:Fallback>
        <xdr:sp macro="" textlink="">
          <xdr:nvSpPr>
            <xdr:cNvPr id="0" name=""/>
            <xdr:cNvSpPr>
              <a:spLocks noTextEdit="1"/>
            </xdr:cNvSpPr>
          </xdr:nvSpPr>
          <xdr:spPr>
            <a:xfrm>
              <a:off x="463638" y="7856912"/>
              <a:ext cx="1807905" cy="11863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24666</xdr:colOff>
      <xdr:row>19</xdr:row>
      <xdr:rowOff>158751</xdr:rowOff>
    </xdr:from>
    <xdr:to>
      <xdr:col>4</xdr:col>
      <xdr:colOff>14997</xdr:colOff>
      <xdr:row>28</xdr:row>
      <xdr:rowOff>0</xdr:rowOff>
    </xdr:to>
    <mc:AlternateContent xmlns:mc="http://schemas.openxmlformats.org/markup-compatibility/2006">
      <mc:Choice xmlns:a14="http://schemas.microsoft.com/office/drawing/2010/main" Requires="a14">
        <xdr:graphicFrame macro="">
          <xdr:nvGraphicFramePr>
            <xdr:cNvPr id="9" name="Bulan 1">
              <a:extLst>
                <a:ext uri="{FF2B5EF4-FFF2-40B4-BE49-F238E27FC236}">
                  <a16:creationId xmlns:a16="http://schemas.microsoft.com/office/drawing/2014/main" id="{881D0283-1B5B-4561-86C1-5DC7FF7F2749}"/>
                </a:ext>
              </a:extLst>
            </xdr:cNvPr>
            <xdr:cNvGraphicFramePr/>
          </xdr:nvGraphicFramePr>
          <xdr:xfrm>
            <a:off x="0" y="0"/>
            <a:ext cx="0" cy="0"/>
          </xdr:xfrm>
          <a:graphic>
            <a:graphicData uri="http://schemas.microsoft.com/office/drawing/2010/slicer">
              <sle:slicer xmlns:sle="http://schemas.microsoft.com/office/drawing/2010/slicer" name="Bulan 1"/>
            </a:graphicData>
          </a:graphic>
        </xdr:graphicFrame>
      </mc:Choice>
      <mc:Fallback>
        <xdr:sp macro="" textlink="">
          <xdr:nvSpPr>
            <xdr:cNvPr id="0" name=""/>
            <xdr:cNvSpPr>
              <a:spLocks noTextEdit="1"/>
            </xdr:cNvSpPr>
          </xdr:nvSpPr>
          <xdr:spPr>
            <a:xfrm>
              <a:off x="485041" y="3778251"/>
              <a:ext cx="1800081" cy="1555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229704</xdr:colOff>
      <xdr:row>17</xdr:row>
      <xdr:rowOff>53847</xdr:rowOff>
    </xdr:from>
    <xdr:to>
      <xdr:col>22</xdr:col>
      <xdr:colOff>576697</xdr:colOff>
      <xdr:row>31</xdr:row>
      <xdr:rowOff>0</xdr:rowOff>
    </xdr:to>
    <xdr:graphicFrame macro="">
      <xdr:nvGraphicFramePr>
        <xdr:cNvPr id="10" name="Chart 9">
          <a:extLst>
            <a:ext uri="{FF2B5EF4-FFF2-40B4-BE49-F238E27FC236}">
              <a16:creationId xmlns:a16="http://schemas.microsoft.com/office/drawing/2014/main" id="{D134E7DB-9BB1-4660-B95F-439FF7C34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335242</xdr:colOff>
      <xdr:row>31</xdr:row>
      <xdr:rowOff>153707</xdr:rowOff>
    </xdr:from>
    <xdr:to>
      <xdr:col>19</xdr:col>
      <xdr:colOff>526084</xdr:colOff>
      <xdr:row>47</xdr:row>
      <xdr:rowOff>34636</xdr:rowOff>
    </xdr:to>
    <xdr:graphicFrame macro="">
      <xdr:nvGraphicFramePr>
        <xdr:cNvPr id="11" name="Chart 10">
          <a:extLst>
            <a:ext uri="{FF2B5EF4-FFF2-40B4-BE49-F238E27FC236}">
              <a16:creationId xmlns:a16="http://schemas.microsoft.com/office/drawing/2014/main" id="{67FC6F12-31ED-4F3D-8DD0-C8B7373E5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857250</xdr:colOff>
      <xdr:row>17</xdr:row>
      <xdr:rowOff>38553</xdr:rowOff>
    </xdr:from>
    <xdr:to>
      <xdr:col>18</xdr:col>
      <xdr:colOff>95251</xdr:colOff>
      <xdr:row>31</xdr:row>
      <xdr:rowOff>0</xdr:rowOff>
    </xdr:to>
    <xdr:graphicFrame macro="">
      <xdr:nvGraphicFramePr>
        <xdr:cNvPr id="12" name="Chart 11">
          <a:extLst>
            <a:ext uri="{FF2B5EF4-FFF2-40B4-BE49-F238E27FC236}">
              <a16:creationId xmlns:a16="http://schemas.microsoft.com/office/drawing/2014/main" id="{B84DC588-8506-42D7-8075-5F38AC463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210360</xdr:colOff>
      <xdr:row>31</xdr:row>
      <xdr:rowOff>147825</xdr:rowOff>
    </xdr:from>
    <xdr:to>
      <xdr:col>10</xdr:col>
      <xdr:colOff>349250</xdr:colOff>
      <xdr:row>47</xdr:row>
      <xdr:rowOff>47625</xdr:rowOff>
    </xdr:to>
    <xdr:graphicFrame macro="">
      <xdr:nvGraphicFramePr>
        <xdr:cNvPr id="14" name="Chart 13">
          <a:extLst>
            <a:ext uri="{FF2B5EF4-FFF2-40B4-BE49-F238E27FC236}">
              <a16:creationId xmlns:a16="http://schemas.microsoft.com/office/drawing/2014/main" id="{B86EAFFC-D1E4-4464-AF94-C095EB6B7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120360</xdr:colOff>
      <xdr:row>17</xdr:row>
      <xdr:rowOff>40899</xdr:rowOff>
    </xdr:from>
    <xdr:to>
      <xdr:col>30</xdr:col>
      <xdr:colOff>523876</xdr:colOff>
      <xdr:row>30</xdr:row>
      <xdr:rowOff>174624</xdr:rowOff>
    </xdr:to>
    <xdr:graphicFrame macro="">
      <xdr:nvGraphicFramePr>
        <xdr:cNvPr id="15" name="Chart 14">
          <a:extLst>
            <a:ext uri="{FF2B5EF4-FFF2-40B4-BE49-F238E27FC236}">
              <a16:creationId xmlns:a16="http://schemas.microsoft.com/office/drawing/2014/main" id="{8955811F-0253-43BB-9B98-16898AAB4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57729</xdr:colOff>
      <xdr:row>31</xdr:row>
      <xdr:rowOff>158750</xdr:rowOff>
    </xdr:from>
    <xdr:to>
      <xdr:col>25</xdr:col>
      <xdr:colOff>238125</xdr:colOff>
      <xdr:row>47</xdr:row>
      <xdr:rowOff>58068</xdr:rowOff>
    </xdr:to>
    <xdr:graphicFrame macro="">
      <xdr:nvGraphicFramePr>
        <xdr:cNvPr id="16" name="Chart 15">
          <a:extLst>
            <a:ext uri="{FF2B5EF4-FFF2-40B4-BE49-F238E27FC236}">
              <a16:creationId xmlns:a16="http://schemas.microsoft.com/office/drawing/2014/main" id="{F9030164-7443-4D82-B59A-17882E4B8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357909</xdr:colOff>
      <xdr:row>31</xdr:row>
      <xdr:rowOff>180975</xdr:rowOff>
    </xdr:from>
    <xdr:to>
      <xdr:col>30</xdr:col>
      <xdr:colOff>496456</xdr:colOff>
      <xdr:row>47</xdr:row>
      <xdr:rowOff>41274</xdr:rowOff>
    </xdr:to>
    <xdr:graphicFrame macro="">
      <xdr:nvGraphicFramePr>
        <xdr:cNvPr id="17" name="Chart 16">
          <a:extLst>
            <a:ext uri="{FF2B5EF4-FFF2-40B4-BE49-F238E27FC236}">
              <a16:creationId xmlns:a16="http://schemas.microsoft.com/office/drawing/2014/main" id="{A3FA0A7E-884E-49BD-8F99-D00666735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174626</xdr:colOff>
      <xdr:row>11</xdr:row>
      <xdr:rowOff>63500</xdr:rowOff>
    </xdr:from>
    <xdr:to>
      <xdr:col>8</xdr:col>
      <xdr:colOff>555625</xdr:colOff>
      <xdr:row>18</xdr:row>
      <xdr:rowOff>79374</xdr:rowOff>
    </xdr:to>
    <xdr:grpSp>
      <xdr:nvGrpSpPr>
        <xdr:cNvPr id="21" name="Group 20">
          <a:extLst>
            <a:ext uri="{FF2B5EF4-FFF2-40B4-BE49-F238E27FC236}">
              <a16:creationId xmlns:a16="http://schemas.microsoft.com/office/drawing/2014/main" id="{31F3AC7F-F847-4120-9DAF-161D27D9EE95}"/>
            </a:ext>
          </a:extLst>
        </xdr:cNvPr>
        <xdr:cNvGrpSpPr/>
      </xdr:nvGrpSpPr>
      <xdr:grpSpPr>
        <a:xfrm>
          <a:off x="2444751" y="2159000"/>
          <a:ext cx="3746499" cy="1349374"/>
          <a:chOff x="8813106" y="969819"/>
          <a:chExt cx="3007419" cy="1752751"/>
        </a:xfrm>
        <a:effectLst>
          <a:outerShdw blurRad="63500" sx="102000" sy="102000" algn="ctr" rotWithShape="0">
            <a:prstClr val="black">
              <a:alpha val="40000"/>
            </a:prstClr>
          </a:outerShdw>
        </a:effectLst>
      </xdr:grpSpPr>
      <xdr:sp macro="" textlink="">
        <xdr:nvSpPr>
          <xdr:cNvPr id="2" name="Rectangle: Rounded Corners 1">
            <a:extLst>
              <a:ext uri="{FF2B5EF4-FFF2-40B4-BE49-F238E27FC236}">
                <a16:creationId xmlns:a16="http://schemas.microsoft.com/office/drawing/2014/main" id="{6431D739-57B7-4159-B1EE-82B87C6945A8}"/>
              </a:ext>
            </a:extLst>
          </xdr:cNvPr>
          <xdr:cNvSpPr/>
        </xdr:nvSpPr>
        <xdr:spPr>
          <a:xfrm>
            <a:off x="8942243" y="969819"/>
            <a:ext cx="2878282" cy="1278081"/>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pic>
        <xdr:nvPicPr>
          <xdr:cNvPr id="18" name="Graphic 17" descr="Dollar">
            <a:extLst>
              <a:ext uri="{FF2B5EF4-FFF2-40B4-BE49-F238E27FC236}">
                <a16:creationId xmlns:a16="http://schemas.microsoft.com/office/drawing/2014/main" id="{9DBC45B2-F8D9-4BFF-92E2-7B1BC45BCE0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8813106" y="1056408"/>
            <a:ext cx="864293" cy="1153393"/>
          </a:xfrm>
          <a:prstGeom prst="rect">
            <a:avLst/>
          </a:prstGeom>
        </xdr:spPr>
      </xdr:pic>
      <xdr:sp macro="" textlink="$E$74">
        <xdr:nvSpPr>
          <xdr:cNvPr id="19" name="TextBox 18">
            <a:extLst>
              <a:ext uri="{FF2B5EF4-FFF2-40B4-BE49-F238E27FC236}">
                <a16:creationId xmlns:a16="http://schemas.microsoft.com/office/drawing/2014/main" id="{01D8321A-D511-4A0C-B84F-0B68E8826266}"/>
              </a:ext>
            </a:extLst>
          </xdr:cNvPr>
          <xdr:cNvSpPr txBox="1"/>
        </xdr:nvSpPr>
        <xdr:spPr>
          <a:xfrm>
            <a:off x="9409508" y="1054571"/>
            <a:ext cx="2320637" cy="448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38DFE9-EA93-4F31-9455-23657D0F847E}" type="TxLink">
              <a:rPr lang="en-US" sz="2000" b="1" i="0" u="none" strike="noStrike">
                <a:solidFill>
                  <a:srgbClr val="244062"/>
                </a:solidFill>
                <a:latin typeface="Times New Roman"/>
                <a:cs typeface="Times New Roman"/>
              </a:rPr>
              <a:pPr/>
              <a:t>Total Penjualan</a:t>
            </a:fld>
            <a:endParaRPr lang="en-US" sz="1400"/>
          </a:p>
        </xdr:txBody>
      </xdr:sp>
      <xdr:sp macro="" textlink="$E$75">
        <xdr:nvSpPr>
          <xdr:cNvPr id="20" name="TextBox 19">
            <a:extLst>
              <a:ext uri="{FF2B5EF4-FFF2-40B4-BE49-F238E27FC236}">
                <a16:creationId xmlns:a16="http://schemas.microsoft.com/office/drawing/2014/main" id="{D51B8A43-8E9E-4642-ACD7-7FD34D03724A}"/>
              </a:ext>
            </a:extLst>
          </xdr:cNvPr>
          <xdr:cNvSpPr txBox="1"/>
        </xdr:nvSpPr>
        <xdr:spPr>
          <a:xfrm>
            <a:off x="9547153" y="1358067"/>
            <a:ext cx="2178012" cy="1364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5DF41E-6059-42BB-824E-78CABD51C2C4}" type="TxLink">
              <a:rPr lang="en-US" sz="3200" b="1" i="0" u="none" strike="noStrike">
                <a:ln w="3175">
                  <a:solidFill>
                    <a:schemeClr val="tx2">
                      <a:lumMod val="50000"/>
                    </a:schemeClr>
                  </a:solidFill>
                </a:ln>
                <a:solidFill>
                  <a:srgbClr val="244062"/>
                </a:solidFill>
                <a:latin typeface="Calibri"/>
                <a:cs typeface="Calibri"/>
              </a:rPr>
              <a:pPr/>
              <a:t>   Rp280.6Jt</a:t>
            </a:fld>
            <a:endParaRPr lang="en-US" sz="4000">
              <a:ln w="3175">
                <a:solidFill>
                  <a:schemeClr val="tx2">
                    <a:lumMod val="50000"/>
                  </a:schemeClr>
                </a:solidFill>
              </a:ln>
            </a:endParaRPr>
          </a:p>
        </xdr:txBody>
      </xdr:sp>
    </xdr:grpSp>
    <xdr:clientData/>
  </xdr:twoCellAnchor>
  <xdr:twoCellAnchor>
    <xdr:from>
      <xdr:col>8</xdr:col>
      <xdr:colOff>1174750</xdr:colOff>
      <xdr:row>11</xdr:row>
      <xdr:rowOff>79374</xdr:rowOff>
    </xdr:from>
    <xdr:to>
      <xdr:col>16</xdr:col>
      <xdr:colOff>190499</xdr:colOff>
      <xdr:row>18</xdr:row>
      <xdr:rowOff>95247</xdr:rowOff>
    </xdr:to>
    <xdr:grpSp>
      <xdr:nvGrpSpPr>
        <xdr:cNvPr id="23" name="Group 22">
          <a:extLst>
            <a:ext uri="{FF2B5EF4-FFF2-40B4-BE49-F238E27FC236}">
              <a16:creationId xmlns:a16="http://schemas.microsoft.com/office/drawing/2014/main" id="{023A262A-969E-46E0-A713-FE62EF769E47}"/>
            </a:ext>
          </a:extLst>
        </xdr:cNvPr>
        <xdr:cNvGrpSpPr/>
      </xdr:nvGrpSpPr>
      <xdr:grpSpPr>
        <a:xfrm>
          <a:off x="6810375" y="2174874"/>
          <a:ext cx="4921249" cy="1349373"/>
          <a:chOff x="6006546" y="2078846"/>
          <a:chExt cx="4118380" cy="1336033"/>
        </a:xfrm>
      </xdr:grpSpPr>
      <xdr:grpSp>
        <xdr:nvGrpSpPr>
          <xdr:cNvPr id="39" name="Group 38">
            <a:extLst>
              <a:ext uri="{FF2B5EF4-FFF2-40B4-BE49-F238E27FC236}">
                <a16:creationId xmlns:a16="http://schemas.microsoft.com/office/drawing/2014/main" id="{0DC7BB26-2DD9-412E-B50A-A69524D93467}"/>
              </a:ext>
            </a:extLst>
          </xdr:cNvPr>
          <xdr:cNvGrpSpPr/>
        </xdr:nvGrpSpPr>
        <xdr:grpSpPr>
          <a:xfrm>
            <a:off x="6006546" y="2078846"/>
            <a:ext cx="4118380" cy="1336033"/>
            <a:chOff x="8942243" y="969819"/>
            <a:chExt cx="3430962" cy="1773828"/>
          </a:xfrm>
          <a:effectLst>
            <a:outerShdw blurRad="63500" sx="102000" sy="102000" algn="ctr" rotWithShape="0">
              <a:prstClr val="black">
                <a:alpha val="40000"/>
              </a:prstClr>
            </a:outerShdw>
          </a:effectLst>
        </xdr:grpSpPr>
        <xdr:sp macro="" textlink="">
          <xdr:nvSpPr>
            <xdr:cNvPr id="40" name="Rectangle: Rounded Corners 39">
              <a:extLst>
                <a:ext uri="{FF2B5EF4-FFF2-40B4-BE49-F238E27FC236}">
                  <a16:creationId xmlns:a16="http://schemas.microsoft.com/office/drawing/2014/main" id="{8E15ABC0-9414-4415-B81A-1ECED4E2D44A}"/>
                </a:ext>
              </a:extLst>
            </xdr:cNvPr>
            <xdr:cNvSpPr/>
          </xdr:nvSpPr>
          <xdr:spPr>
            <a:xfrm>
              <a:off x="8942243" y="969819"/>
              <a:ext cx="2878282" cy="1278081"/>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E$77">
          <xdr:nvSpPr>
            <xdr:cNvPr id="42" name="TextBox 41">
              <a:extLst>
                <a:ext uri="{FF2B5EF4-FFF2-40B4-BE49-F238E27FC236}">
                  <a16:creationId xmlns:a16="http://schemas.microsoft.com/office/drawing/2014/main" id="{4128CB49-B5DD-4AB9-9D7D-05C498827142}"/>
                </a:ext>
              </a:extLst>
            </xdr:cNvPr>
            <xdr:cNvSpPr txBox="1"/>
          </xdr:nvSpPr>
          <xdr:spPr>
            <a:xfrm>
              <a:off x="9634338" y="1054572"/>
              <a:ext cx="2320637" cy="448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78303C-A48E-4990-A219-3C81F5A01C05}" type="TxLink">
                <a:rPr lang="en-US" sz="2000" b="1" i="0" u="none" strike="noStrike">
                  <a:solidFill>
                    <a:srgbClr val="244062"/>
                  </a:solidFill>
                  <a:latin typeface="Times New Roman"/>
                  <a:cs typeface="Times New Roman"/>
                </a:rPr>
                <a:pPr/>
                <a:t>AOV Penjualan</a:t>
              </a:fld>
              <a:endParaRPr lang="en-US" sz="2000"/>
            </a:p>
          </xdr:txBody>
        </xdr:sp>
        <xdr:sp macro="" textlink="$E$78">
          <xdr:nvSpPr>
            <xdr:cNvPr id="43" name="TextBox 42">
              <a:extLst>
                <a:ext uri="{FF2B5EF4-FFF2-40B4-BE49-F238E27FC236}">
                  <a16:creationId xmlns:a16="http://schemas.microsoft.com/office/drawing/2014/main" id="{BFA79E2D-96F9-4143-98B3-7B03DD4F5DAC}"/>
                </a:ext>
              </a:extLst>
            </xdr:cNvPr>
            <xdr:cNvSpPr txBox="1"/>
          </xdr:nvSpPr>
          <xdr:spPr>
            <a:xfrm>
              <a:off x="10195193" y="1379144"/>
              <a:ext cx="2178012" cy="1364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54590D-FCD7-4B0B-B2A1-550C4FBA38C0}" type="TxLink">
                <a:rPr lang="en-US" sz="3200" b="1" i="0" u="none" strike="noStrike">
                  <a:ln w="3175">
                    <a:solidFill>
                      <a:schemeClr val="tx2">
                        <a:lumMod val="50000"/>
                      </a:schemeClr>
                    </a:solidFill>
                  </a:ln>
                  <a:solidFill>
                    <a:srgbClr val="244062"/>
                  </a:solidFill>
                  <a:latin typeface="Calibri"/>
                  <a:cs typeface="Calibri"/>
                </a:rPr>
                <a:pPr/>
                <a:t>   Rp1.3Jt</a:t>
              </a:fld>
              <a:endParaRPr lang="en-US" sz="3200">
                <a:ln w="3175">
                  <a:solidFill>
                    <a:schemeClr val="tx2">
                      <a:lumMod val="50000"/>
                    </a:schemeClr>
                  </a:solidFill>
                </a:ln>
              </a:endParaRPr>
            </a:p>
          </xdr:txBody>
        </xdr:sp>
      </xdr:grpSp>
      <xdr:pic>
        <xdr:nvPicPr>
          <xdr:cNvPr id="22" name="Graphic 21" descr="Bullseye">
            <a:extLst>
              <a:ext uri="{FF2B5EF4-FFF2-40B4-BE49-F238E27FC236}">
                <a16:creationId xmlns:a16="http://schemas.microsoft.com/office/drawing/2014/main" id="{A3654BE9-89C7-443C-ACBD-43742D676F8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6048375" y="2079625"/>
            <a:ext cx="914400" cy="914400"/>
          </a:xfrm>
          <a:prstGeom prst="rect">
            <a:avLst/>
          </a:prstGeom>
        </xdr:spPr>
      </xdr:pic>
    </xdr:grpSp>
    <xdr:clientData/>
  </xdr:twoCellAnchor>
  <xdr:twoCellAnchor>
    <xdr:from>
      <xdr:col>16</xdr:col>
      <xdr:colOff>174072</xdr:colOff>
      <xdr:row>11</xdr:row>
      <xdr:rowOff>127000</xdr:rowOff>
    </xdr:from>
    <xdr:to>
      <xdr:col>22</xdr:col>
      <xdr:colOff>333374</xdr:colOff>
      <xdr:row>18</xdr:row>
      <xdr:rowOff>158749</xdr:rowOff>
    </xdr:to>
    <xdr:grpSp>
      <xdr:nvGrpSpPr>
        <xdr:cNvPr id="25" name="Group 24">
          <a:extLst>
            <a:ext uri="{FF2B5EF4-FFF2-40B4-BE49-F238E27FC236}">
              <a16:creationId xmlns:a16="http://schemas.microsoft.com/office/drawing/2014/main" id="{1ED464A9-E697-437C-BE63-E0A3073F52DB}"/>
            </a:ext>
          </a:extLst>
        </xdr:cNvPr>
        <xdr:cNvGrpSpPr/>
      </xdr:nvGrpSpPr>
      <xdr:grpSpPr>
        <a:xfrm>
          <a:off x="11715197" y="2222500"/>
          <a:ext cx="3826427" cy="1365249"/>
          <a:chOff x="9889573" y="2040746"/>
          <a:chExt cx="3396236" cy="1447156"/>
        </a:xfrm>
      </xdr:grpSpPr>
      <xdr:grpSp>
        <xdr:nvGrpSpPr>
          <xdr:cNvPr id="28" name="Group 27">
            <a:extLst>
              <a:ext uri="{FF2B5EF4-FFF2-40B4-BE49-F238E27FC236}">
                <a16:creationId xmlns:a16="http://schemas.microsoft.com/office/drawing/2014/main" id="{E60DAB80-85F6-46DD-B0DF-7653F6F5B2FD}"/>
              </a:ext>
            </a:extLst>
          </xdr:cNvPr>
          <xdr:cNvGrpSpPr/>
        </xdr:nvGrpSpPr>
        <xdr:grpSpPr>
          <a:xfrm>
            <a:off x="9889573" y="2040746"/>
            <a:ext cx="3396236" cy="1447156"/>
            <a:chOff x="8942243" y="969819"/>
            <a:chExt cx="3012732" cy="1921365"/>
          </a:xfrm>
          <a:effectLst>
            <a:outerShdw blurRad="63500" sx="102000" sy="102000" algn="ctr" rotWithShape="0">
              <a:prstClr val="black">
                <a:alpha val="40000"/>
              </a:prstClr>
            </a:outerShdw>
          </a:effectLst>
        </xdr:grpSpPr>
        <xdr:sp macro="" textlink="">
          <xdr:nvSpPr>
            <xdr:cNvPr id="30" name="Rectangle: Rounded Corners 29">
              <a:extLst>
                <a:ext uri="{FF2B5EF4-FFF2-40B4-BE49-F238E27FC236}">
                  <a16:creationId xmlns:a16="http://schemas.microsoft.com/office/drawing/2014/main" id="{12388DCC-DE72-4C08-A00F-DE2F70C897F6}"/>
                </a:ext>
              </a:extLst>
            </xdr:cNvPr>
            <xdr:cNvSpPr/>
          </xdr:nvSpPr>
          <xdr:spPr>
            <a:xfrm>
              <a:off x="8942243" y="969819"/>
              <a:ext cx="2878282" cy="1278081"/>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E$80">
          <xdr:nvSpPr>
            <xdr:cNvPr id="31" name="TextBox 30">
              <a:extLst>
                <a:ext uri="{FF2B5EF4-FFF2-40B4-BE49-F238E27FC236}">
                  <a16:creationId xmlns:a16="http://schemas.microsoft.com/office/drawing/2014/main" id="{779ABA81-1460-4DFC-8A11-F0E65DAB7C83}"/>
                </a:ext>
              </a:extLst>
            </xdr:cNvPr>
            <xdr:cNvSpPr txBox="1"/>
          </xdr:nvSpPr>
          <xdr:spPr>
            <a:xfrm>
              <a:off x="9634338" y="1054570"/>
              <a:ext cx="2320637" cy="578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CF5271-75CC-412A-893C-E4CB73917520}" type="TxLink">
                <a:rPr lang="en-US" sz="2000" b="1" i="0" u="none" strike="noStrike">
                  <a:solidFill>
                    <a:srgbClr val="244062"/>
                  </a:solidFill>
                  <a:latin typeface="Times New Roman"/>
                  <a:cs typeface="Times New Roman"/>
                </a:rPr>
                <a:pPr/>
                <a:t>Transaksi</a:t>
              </a:fld>
              <a:endParaRPr lang="en-US" sz="2000"/>
            </a:p>
          </xdr:txBody>
        </xdr:sp>
        <xdr:sp macro="" textlink="$E$81">
          <xdr:nvSpPr>
            <xdr:cNvPr id="32" name="TextBox 31">
              <a:extLst>
                <a:ext uri="{FF2B5EF4-FFF2-40B4-BE49-F238E27FC236}">
                  <a16:creationId xmlns:a16="http://schemas.microsoft.com/office/drawing/2014/main" id="{D8C226D1-CEB1-491C-90DF-3CF0FFA72D87}"/>
                </a:ext>
              </a:extLst>
            </xdr:cNvPr>
            <xdr:cNvSpPr txBox="1"/>
          </xdr:nvSpPr>
          <xdr:spPr>
            <a:xfrm>
              <a:off x="9758638" y="1526682"/>
              <a:ext cx="2178012" cy="1364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14D36C-B065-456E-9286-913FE5106A34}" type="TxLink">
                <a:rPr lang="en-US" sz="2800" b="1" i="0" u="none" strike="noStrike">
                  <a:ln w="3175">
                    <a:solidFill>
                      <a:schemeClr val="tx2">
                        <a:lumMod val="50000"/>
                      </a:schemeClr>
                    </a:solidFill>
                  </a:ln>
                  <a:solidFill>
                    <a:srgbClr val="244062"/>
                  </a:solidFill>
                  <a:latin typeface="Calibri"/>
                  <a:cs typeface="Calibri"/>
                </a:rPr>
                <a:pPr/>
                <a:t>220 Transaksi</a:t>
              </a:fld>
              <a:endParaRPr lang="en-US" sz="4000">
                <a:ln w="3175">
                  <a:solidFill>
                    <a:schemeClr val="tx2">
                      <a:lumMod val="50000"/>
                    </a:schemeClr>
                  </a:solidFill>
                </a:ln>
              </a:endParaRPr>
            </a:p>
          </xdr:txBody>
        </xdr:sp>
      </xdr:grpSp>
      <xdr:pic>
        <xdr:nvPicPr>
          <xdr:cNvPr id="24" name="Graphic 23" descr="Shopping cart">
            <a:extLst>
              <a:ext uri="{FF2B5EF4-FFF2-40B4-BE49-F238E27FC236}">
                <a16:creationId xmlns:a16="http://schemas.microsoft.com/office/drawing/2014/main" id="{44CC0770-94CD-4AA2-9300-F32142BB7F5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9906000" y="2127250"/>
            <a:ext cx="841375" cy="841375"/>
          </a:xfrm>
          <a:prstGeom prst="rect">
            <a:avLst/>
          </a:prstGeom>
        </xdr:spPr>
      </xdr:pic>
    </xdr:grpSp>
    <xdr:clientData/>
  </xdr:twoCellAnchor>
  <xdr:twoCellAnchor>
    <xdr:from>
      <xdr:col>23</xdr:col>
      <xdr:colOff>349250</xdr:colOff>
      <xdr:row>11</xdr:row>
      <xdr:rowOff>142874</xdr:rowOff>
    </xdr:from>
    <xdr:to>
      <xdr:col>31</xdr:col>
      <xdr:colOff>127000</xdr:colOff>
      <xdr:row>18</xdr:row>
      <xdr:rowOff>116049</xdr:rowOff>
    </xdr:to>
    <xdr:grpSp>
      <xdr:nvGrpSpPr>
        <xdr:cNvPr id="34" name="Group 33">
          <a:extLst>
            <a:ext uri="{FF2B5EF4-FFF2-40B4-BE49-F238E27FC236}">
              <a16:creationId xmlns:a16="http://schemas.microsoft.com/office/drawing/2014/main" id="{7CA59415-6A34-4FCA-86F6-EF6EA6CFE2B2}"/>
            </a:ext>
          </a:extLst>
        </xdr:cNvPr>
        <xdr:cNvGrpSpPr/>
      </xdr:nvGrpSpPr>
      <xdr:grpSpPr>
        <a:xfrm>
          <a:off x="16160750" y="2238374"/>
          <a:ext cx="4603750" cy="1306675"/>
          <a:chOff x="13439223" y="2050270"/>
          <a:chExt cx="3396236" cy="1415406"/>
        </a:xfrm>
      </xdr:grpSpPr>
      <xdr:grpSp>
        <xdr:nvGrpSpPr>
          <xdr:cNvPr id="35" name="Group 34">
            <a:extLst>
              <a:ext uri="{FF2B5EF4-FFF2-40B4-BE49-F238E27FC236}">
                <a16:creationId xmlns:a16="http://schemas.microsoft.com/office/drawing/2014/main" id="{8445091F-8103-43BB-BD0B-87BB6DC97301}"/>
              </a:ext>
            </a:extLst>
          </xdr:cNvPr>
          <xdr:cNvGrpSpPr/>
        </xdr:nvGrpSpPr>
        <xdr:grpSpPr>
          <a:xfrm>
            <a:off x="13439223" y="2050270"/>
            <a:ext cx="3396236" cy="1415406"/>
            <a:chOff x="8942243" y="969818"/>
            <a:chExt cx="3012732" cy="1879212"/>
          </a:xfrm>
          <a:effectLst>
            <a:outerShdw blurRad="63500" sx="102000" sy="102000" algn="ctr" rotWithShape="0">
              <a:prstClr val="black">
                <a:alpha val="40000"/>
              </a:prstClr>
            </a:outerShdw>
          </a:effectLst>
        </xdr:grpSpPr>
        <xdr:sp macro="" textlink="">
          <xdr:nvSpPr>
            <xdr:cNvPr id="36" name="Rectangle: Rounded Corners 35">
              <a:extLst>
                <a:ext uri="{FF2B5EF4-FFF2-40B4-BE49-F238E27FC236}">
                  <a16:creationId xmlns:a16="http://schemas.microsoft.com/office/drawing/2014/main" id="{CBE3D4AB-7152-4877-A599-3D71EE765207}"/>
                </a:ext>
              </a:extLst>
            </xdr:cNvPr>
            <xdr:cNvSpPr/>
          </xdr:nvSpPr>
          <xdr:spPr>
            <a:xfrm>
              <a:off x="8942243" y="969818"/>
              <a:ext cx="2878282" cy="1278082"/>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E$83">
          <xdr:nvSpPr>
            <xdr:cNvPr id="37" name="TextBox 36">
              <a:extLst>
                <a:ext uri="{FF2B5EF4-FFF2-40B4-BE49-F238E27FC236}">
                  <a16:creationId xmlns:a16="http://schemas.microsoft.com/office/drawing/2014/main" id="{02B30619-0ED0-488D-9F0F-DBF08262F532}"/>
                </a:ext>
              </a:extLst>
            </xdr:cNvPr>
            <xdr:cNvSpPr txBox="1"/>
          </xdr:nvSpPr>
          <xdr:spPr>
            <a:xfrm>
              <a:off x="9634338" y="1054570"/>
              <a:ext cx="2320637" cy="578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4A9A2E-E230-4602-8A21-A1C7C6F170DC}" type="TxLink">
                <a:rPr lang="en-US" sz="2800" b="1" i="0" u="none" strike="noStrike">
                  <a:solidFill>
                    <a:srgbClr val="244062"/>
                  </a:solidFill>
                  <a:latin typeface="Times New Roman"/>
                  <a:cs typeface="Times New Roman"/>
                </a:rPr>
                <a:pPr/>
                <a:t>Jumlah Item</a:t>
              </a:fld>
              <a:endParaRPr lang="en-US" sz="2800"/>
            </a:p>
          </xdr:txBody>
        </xdr:sp>
        <xdr:sp macro="" textlink="$E$84">
          <xdr:nvSpPr>
            <xdr:cNvPr id="38" name="TextBox 37">
              <a:extLst>
                <a:ext uri="{FF2B5EF4-FFF2-40B4-BE49-F238E27FC236}">
                  <a16:creationId xmlns:a16="http://schemas.microsoft.com/office/drawing/2014/main" id="{E8AE0332-9DA7-41CD-8ADD-4884A7A81E07}"/>
                </a:ext>
              </a:extLst>
            </xdr:cNvPr>
            <xdr:cNvSpPr txBox="1"/>
          </xdr:nvSpPr>
          <xdr:spPr>
            <a:xfrm>
              <a:off x="10232930" y="1484529"/>
              <a:ext cx="1594796" cy="1364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0D06D2-B606-4225-81FC-389BEC512CD0}" type="TxLink">
                <a:rPr lang="en-US" sz="3200" b="1" i="0" u="none" strike="noStrike">
                  <a:ln w="3175">
                    <a:solidFill>
                      <a:schemeClr val="tx2">
                        <a:lumMod val="50000"/>
                      </a:schemeClr>
                    </a:solidFill>
                  </a:ln>
                  <a:solidFill>
                    <a:srgbClr val="244062"/>
                  </a:solidFill>
                  <a:latin typeface="Calibri"/>
                  <a:cs typeface="Calibri"/>
                </a:rPr>
                <a:pPr/>
                <a:t>2,999 Items</a:t>
              </a:fld>
              <a:endParaRPr lang="en-US" sz="4800">
                <a:ln w="3175">
                  <a:solidFill>
                    <a:schemeClr val="tx2">
                      <a:lumMod val="50000"/>
                    </a:schemeClr>
                  </a:solidFill>
                </a:ln>
              </a:endParaRPr>
            </a:p>
          </xdr:txBody>
        </xdr:sp>
      </xdr:grpSp>
      <xdr:pic>
        <xdr:nvPicPr>
          <xdr:cNvPr id="33" name="Graphic 32" descr="Box">
            <a:extLst>
              <a:ext uri="{FF2B5EF4-FFF2-40B4-BE49-F238E27FC236}">
                <a16:creationId xmlns:a16="http://schemas.microsoft.com/office/drawing/2014/main" id="{2AF9237E-0006-44F2-82F2-40A724778B44}"/>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3446125" y="2063750"/>
            <a:ext cx="914400" cy="914400"/>
          </a:xfrm>
          <a:prstGeom prst="rect">
            <a:avLst/>
          </a:prstGeom>
        </xdr:spPr>
      </xdr:pic>
    </xdr:grpSp>
    <xdr:clientData/>
  </xdr:twoCellAnchor>
  <xdr:twoCellAnchor editAs="oneCell">
    <xdr:from>
      <xdr:col>1</xdr:col>
      <xdr:colOff>1</xdr:colOff>
      <xdr:row>6</xdr:row>
      <xdr:rowOff>111126</xdr:rowOff>
    </xdr:from>
    <xdr:to>
      <xdr:col>4</xdr:col>
      <xdr:colOff>1000125</xdr:colOff>
      <xdr:row>10</xdr:row>
      <xdr:rowOff>160867</xdr:rowOff>
    </xdr:to>
    <xdr:pic>
      <xdr:nvPicPr>
        <xdr:cNvPr id="44" name="Picture 43">
          <a:extLst>
            <a:ext uri="{FF2B5EF4-FFF2-40B4-BE49-F238E27FC236}">
              <a16:creationId xmlns:a16="http://schemas.microsoft.com/office/drawing/2014/main" id="{8ADE8993-B44F-4EDF-91CC-515B7BC46A12}"/>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460376" y="1254126"/>
          <a:ext cx="2809874" cy="811741"/>
        </a:xfrm>
        <a:prstGeom prst="rect">
          <a:avLst/>
        </a:prstGeom>
      </xdr:spPr>
    </xdr:pic>
    <xdr:clientData/>
  </xdr:twoCellAnchor>
  <xdr:twoCellAnchor>
    <xdr:from>
      <xdr:col>4</xdr:col>
      <xdr:colOff>1111250</xdr:colOff>
      <xdr:row>6</xdr:row>
      <xdr:rowOff>47625</xdr:rowOff>
    </xdr:from>
    <xdr:to>
      <xdr:col>14</xdr:col>
      <xdr:colOff>381000</xdr:colOff>
      <xdr:row>10</xdr:row>
      <xdr:rowOff>0</xdr:rowOff>
    </xdr:to>
    <xdr:sp macro="" textlink="">
      <xdr:nvSpPr>
        <xdr:cNvPr id="45" name="TextBox 44">
          <a:extLst>
            <a:ext uri="{FF2B5EF4-FFF2-40B4-BE49-F238E27FC236}">
              <a16:creationId xmlns:a16="http://schemas.microsoft.com/office/drawing/2014/main" id="{333254BF-0AAC-47FD-A994-3185936F9F61}"/>
            </a:ext>
          </a:extLst>
        </xdr:cNvPr>
        <xdr:cNvSpPr txBox="1"/>
      </xdr:nvSpPr>
      <xdr:spPr>
        <a:xfrm>
          <a:off x="3381375" y="1190625"/>
          <a:ext cx="7334250"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cap="none" spc="0">
              <a:ln w="0"/>
              <a:solidFill>
                <a:schemeClr val="accent1">
                  <a:lumMod val="50000"/>
                </a:schemeClr>
              </a:solidFill>
              <a:effectLst>
                <a:reflection blurRad="6350" stA="53000" endA="300" endPos="35500" dir="5400000" sy="-90000" algn="bl" rotWithShape="0"/>
              </a:effectLst>
              <a:latin typeface="Times New Roman" panose="02020603050405020304" pitchFamily="18" charset="0"/>
              <a:cs typeface="Times New Roman" panose="02020603050405020304" pitchFamily="18" charset="0"/>
            </a:rPr>
            <a:t>Sales Performance Dashboard</a:t>
          </a:r>
        </a:p>
      </xdr:txBody>
    </xdr:sp>
    <xdr:clientData/>
  </xdr:twoCellAnchor>
  <xdr:twoCellAnchor>
    <xdr:from>
      <xdr:col>4</xdr:col>
      <xdr:colOff>1158875</xdr:colOff>
      <xdr:row>9</xdr:row>
      <xdr:rowOff>47625</xdr:rowOff>
    </xdr:from>
    <xdr:to>
      <xdr:col>8</xdr:col>
      <xdr:colOff>174625</xdr:colOff>
      <xdr:row>10</xdr:row>
      <xdr:rowOff>142875</xdr:rowOff>
    </xdr:to>
    <xdr:sp macro="" textlink="">
      <xdr:nvSpPr>
        <xdr:cNvPr id="3" name="TextBox 2">
          <a:extLst>
            <a:ext uri="{FF2B5EF4-FFF2-40B4-BE49-F238E27FC236}">
              <a16:creationId xmlns:a16="http://schemas.microsoft.com/office/drawing/2014/main" id="{EF6C4FD8-063C-4CFB-AC1B-FE935C7C2557}"/>
            </a:ext>
          </a:extLst>
        </xdr:cNvPr>
        <xdr:cNvSpPr txBox="1"/>
      </xdr:nvSpPr>
      <xdr:spPr>
        <a:xfrm>
          <a:off x="3429000" y="1762125"/>
          <a:ext cx="2381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6">
                  <a:lumMod val="75000"/>
                </a:schemeClr>
              </a:solidFill>
            </a:rPr>
            <a:t>Januari</a:t>
          </a:r>
          <a:r>
            <a:rPr lang="en-US" sz="1600" b="1" baseline="0">
              <a:solidFill>
                <a:schemeClr val="accent6">
                  <a:lumMod val="75000"/>
                </a:schemeClr>
              </a:solidFill>
            </a:rPr>
            <a:t> - Desember 2025</a:t>
          </a:r>
          <a:endParaRPr lang="en-US" sz="1600" b="1">
            <a:solidFill>
              <a:schemeClr val="accent6">
                <a:lumMod val="75000"/>
              </a:schemeClr>
            </a:solidFill>
          </a:endParaRPr>
        </a:p>
      </xdr:txBody>
    </xdr:sp>
    <xdr:clientData/>
  </xdr:twoCellAnchor>
  <xdr:twoCellAnchor>
    <xdr:from>
      <xdr:col>17</xdr:col>
      <xdr:colOff>0</xdr:colOff>
      <xdr:row>9</xdr:row>
      <xdr:rowOff>47625</xdr:rowOff>
    </xdr:from>
    <xdr:to>
      <xdr:col>30</xdr:col>
      <xdr:colOff>539750</xdr:colOff>
      <xdr:row>11</xdr:row>
      <xdr:rowOff>31750</xdr:rowOff>
    </xdr:to>
    <xdr:sp macro="" textlink="">
      <xdr:nvSpPr>
        <xdr:cNvPr id="26" name="TextBox 25">
          <a:extLst>
            <a:ext uri="{FF2B5EF4-FFF2-40B4-BE49-F238E27FC236}">
              <a16:creationId xmlns:a16="http://schemas.microsoft.com/office/drawing/2014/main" id="{98C05763-6C0E-4D43-A015-44CD28F2DD8D}"/>
            </a:ext>
          </a:extLst>
        </xdr:cNvPr>
        <xdr:cNvSpPr txBox="1"/>
      </xdr:nvSpPr>
      <xdr:spPr>
        <a:xfrm>
          <a:off x="12144375" y="1762125"/>
          <a:ext cx="842962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6">
                  <a:lumMod val="75000"/>
                </a:schemeClr>
              </a:solidFill>
            </a:rPr>
            <a:t>10 Kota</a:t>
          </a:r>
          <a:r>
            <a:rPr lang="en-US" sz="1800" b="1" baseline="0">
              <a:solidFill>
                <a:schemeClr val="accent6">
                  <a:lumMod val="75000"/>
                </a:schemeClr>
              </a:solidFill>
            </a:rPr>
            <a:t> | 12 Bulan | 5 Kategori Produk | 5 Metode Pembayaran | 3 Segmen Pelanggan </a:t>
          </a:r>
          <a:endParaRPr lang="en-US" sz="1800" b="1">
            <a:solidFill>
              <a:schemeClr val="accent6">
                <a:lumMod val="75000"/>
              </a:schemeClr>
            </a:solidFill>
          </a:endParaRPr>
        </a:p>
      </xdr:txBody>
    </xdr:sp>
    <xdr:clientData/>
  </xdr:twoCellAnchor>
  <xdr:twoCellAnchor>
    <xdr:from>
      <xdr:col>27</xdr:col>
      <xdr:colOff>381000</xdr:colOff>
      <xdr:row>5</xdr:row>
      <xdr:rowOff>174625</xdr:rowOff>
    </xdr:from>
    <xdr:to>
      <xdr:col>30</xdr:col>
      <xdr:colOff>460376</xdr:colOff>
      <xdr:row>7</xdr:row>
      <xdr:rowOff>63501</xdr:rowOff>
    </xdr:to>
    <xdr:sp macro="" textlink="">
      <xdr:nvSpPr>
        <xdr:cNvPr id="27" name="TextBox 26">
          <a:extLst>
            <a:ext uri="{FF2B5EF4-FFF2-40B4-BE49-F238E27FC236}">
              <a16:creationId xmlns:a16="http://schemas.microsoft.com/office/drawing/2014/main" id="{853421A2-B02C-4ED8-BB85-B0212EB9B7CF}"/>
            </a:ext>
          </a:extLst>
        </xdr:cNvPr>
        <xdr:cNvSpPr txBox="1"/>
      </xdr:nvSpPr>
      <xdr:spPr>
        <a:xfrm>
          <a:off x="18605500" y="1127125"/>
          <a:ext cx="1889126" cy="269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tx2">
                  <a:lumMod val="50000"/>
                </a:schemeClr>
              </a:solidFill>
            </a:rPr>
            <a:t>By:</a:t>
          </a:r>
          <a:r>
            <a:rPr lang="en-US" sz="1400" b="1" baseline="0">
              <a:solidFill>
                <a:schemeClr val="tx2">
                  <a:lumMod val="50000"/>
                </a:schemeClr>
              </a:solidFill>
            </a:rPr>
            <a:t> Gea Putri Inka Rani</a:t>
          </a:r>
          <a:endParaRPr lang="en-US" sz="1400" b="1">
            <a:solidFill>
              <a:schemeClr val="tx2">
                <a:lumMod val="50000"/>
              </a:schemeClr>
            </a:solidFill>
          </a:endParaRPr>
        </a:p>
      </xdr:txBody>
    </xdr:sp>
    <xdr:clientData/>
  </xdr:twoCellAnchor>
  <xdr:twoCellAnchor>
    <xdr:from>
      <xdr:col>10</xdr:col>
      <xdr:colOff>458510</xdr:colOff>
      <xdr:row>31</xdr:row>
      <xdr:rowOff>141008</xdr:rowOff>
    </xdr:from>
    <xdr:to>
      <xdr:col>15</xdr:col>
      <xdr:colOff>204510</xdr:colOff>
      <xdr:row>47</xdr:row>
      <xdr:rowOff>45758</xdr:rowOff>
    </xdr:to>
    <xdr:graphicFrame macro="">
      <xdr:nvGraphicFramePr>
        <xdr:cNvPr id="46" name="Chart 45">
          <a:extLst>
            <a:ext uri="{FF2B5EF4-FFF2-40B4-BE49-F238E27FC236}">
              <a16:creationId xmlns:a16="http://schemas.microsoft.com/office/drawing/2014/main" id="{A1F29501-FF21-4CA1-9FFA-1CDE0CD44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10" refreshedDate="46304.97063275463" createdVersion="7" refreshedVersion="7" minRefreshableVersion="3" recordCount="220" xr:uid="{24C6F02B-46CA-40BA-9F18-497A4A98BA78}">
  <cacheSource type="worksheet">
    <worksheetSource ref="A1:K221" sheet="Data Penjualan"/>
  </cacheSource>
  <cacheFields count="12">
    <cacheField name="Order_ID" numFmtId="0">
      <sharedItems/>
    </cacheField>
    <cacheField name="Tanggal_Order" numFmtId="165">
      <sharedItems containsSemiMixedTypes="0" containsNonDate="0" containsDate="1" containsString="0" minDate="2025-01-04T00:00:00" maxDate="2025-12-30T00:00:00" count="169">
        <d v="2025-01-04T00:00:00"/>
        <d v="2025-01-07T00:00:00"/>
        <d v="2025-01-08T00:00:00"/>
        <d v="2025-01-09T00:00:00"/>
        <d v="2025-01-15T00:00:00"/>
        <d v="2025-01-17T00:00:00"/>
        <d v="2025-01-19T00:00:00"/>
        <d v="2025-01-21T00:00:00"/>
        <d v="2025-01-22T00:00:00"/>
        <d v="2025-01-24T00:00:00"/>
        <d v="2025-01-25T00:00:00"/>
        <d v="2025-01-26T00:00:00"/>
        <d v="2025-01-27T00:00:00"/>
        <d v="2025-01-28T00:00:00"/>
        <d v="2025-01-31T00:00:00"/>
        <d v="2025-02-01T00:00:00"/>
        <d v="2025-02-02T00:00:00"/>
        <d v="2025-02-03T00:00:00"/>
        <d v="2025-02-05T00:00:00"/>
        <d v="2025-02-06T00:00:00"/>
        <d v="2025-02-07T00:00:00"/>
        <d v="2025-02-09T00:00:00"/>
        <d v="2025-02-10T00:00:00"/>
        <d v="2025-02-11T00:00:00"/>
        <d v="2025-02-13T00:00:00"/>
        <d v="2025-02-15T00:00:00"/>
        <d v="2025-02-20T00:00:00"/>
        <d v="2025-02-25T00:00:00"/>
        <d v="2025-02-27T00:00:00"/>
        <d v="2025-02-28T00:00:00"/>
        <d v="2025-03-03T00:00:00"/>
        <d v="2025-03-04T00:00:00"/>
        <d v="2025-03-05T00:00:00"/>
        <d v="2025-03-12T00:00:00"/>
        <d v="2025-03-17T00:00:00"/>
        <d v="2025-03-19T00:00:00"/>
        <d v="2025-03-20T00:00:00"/>
        <d v="2025-03-21T00:00:00"/>
        <d v="2025-03-26T00:00:00"/>
        <d v="2025-03-31T00:00:00"/>
        <d v="2025-04-03T00:00:00"/>
        <d v="2025-04-06T00:00:00"/>
        <d v="2025-04-15T00:00:00"/>
        <d v="2025-04-19T00:00:00"/>
        <d v="2025-04-20T00:00:00"/>
        <d v="2025-04-27T00:00:00"/>
        <d v="2025-04-28T00:00:00"/>
        <d v="2025-04-30T00:00:00"/>
        <d v="2025-05-03T00:00:00"/>
        <d v="2025-05-05T00:00:00"/>
        <d v="2025-05-06T00:00:00"/>
        <d v="2025-05-07T00:00:00"/>
        <d v="2025-05-08T00:00:00"/>
        <d v="2025-05-14T00:00:00"/>
        <d v="2025-05-16T00:00:00"/>
        <d v="2025-05-20T00:00:00"/>
        <d v="2025-05-26T00:00:00"/>
        <d v="2025-05-27T00:00:00"/>
        <d v="2025-05-30T00:00:00"/>
        <d v="2025-06-02T00:00:00"/>
        <d v="2025-06-07T00:00:00"/>
        <d v="2025-06-10T00:00:00"/>
        <d v="2025-06-14T00:00:00"/>
        <d v="2025-06-15T00:00:00"/>
        <d v="2025-06-16T00:00:00"/>
        <d v="2025-06-18T00:00:00"/>
        <d v="2025-06-20T00:00:00"/>
        <d v="2025-06-21T00:00:00"/>
        <d v="2025-06-23T00:00:00"/>
        <d v="2025-06-24T00:00:00"/>
        <d v="2025-06-26T00:00:00"/>
        <d v="2025-06-30T00:00:00"/>
        <d v="2025-07-05T00:00:00"/>
        <d v="2025-07-07T00:00:00"/>
        <d v="2025-07-11T00:00:00"/>
        <d v="2025-07-14T00:00:00"/>
        <d v="2025-07-15T00:00:00"/>
        <d v="2025-07-19T00:00:00"/>
        <d v="2025-07-21T00:00:00"/>
        <d v="2025-07-22T00:00:00"/>
        <d v="2025-07-27T00:00:00"/>
        <d v="2025-07-31T00:00:00"/>
        <d v="2025-08-01T00:00:00"/>
        <d v="2025-08-02T00:00:00"/>
        <d v="2025-08-05T00:00:00"/>
        <d v="2025-08-07T00:00:00"/>
        <d v="2025-08-08T00:00:00"/>
        <d v="2025-08-09T00:00:00"/>
        <d v="2025-08-11T00:00:00"/>
        <d v="2025-08-12T00:00:00"/>
        <d v="2025-08-13T00:00:00"/>
        <d v="2025-08-14T00:00:00"/>
        <d v="2025-08-16T00:00:00"/>
        <d v="2025-08-18T00:00:00"/>
        <d v="2025-08-19T00:00:00"/>
        <d v="2025-08-21T00:00:00"/>
        <d v="2025-08-22T00:00:00"/>
        <d v="2025-08-23T00:00:00"/>
        <d v="2025-08-24T00:00:00"/>
        <d v="2025-08-25T00:00:00"/>
        <d v="2025-08-27T00:00:00"/>
        <d v="2025-08-29T00:00:00"/>
        <d v="2025-08-31T00:00:00"/>
        <d v="2025-09-01T00:00:00"/>
        <d v="2025-09-04T00:00:00"/>
        <d v="2025-09-07T00:00:00"/>
        <d v="2025-09-08T00:00:00"/>
        <d v="2025-09-15T00:00:00"/>
        <d v="2025-09-16T00:00:00"/>
        <d v="2025-09-18T00:00:00"/>
        <d v="2025-09-19T00:00:00"/>
        <d v="2025-09-20T00:00:00"/>
        <d v="2025-09-26T00:00:00"/>
        <d v="2025-09-29T00:00:00"/>
        <d v="2025-09-30T00:00:00"/>
        <d v="2025-10-02T00:00:00"/>
        <d v="2025-10-03T00:00:00"/>
        <d v="2025-10-04T00:00:00"/>
        <d v="2025-10-06T00:00:00"/>
        <d v="2025-10-08T00:00:00"/>
        <d v="2025-10-09T00:00:00"/>
        <d v="2025-10-10T00:00:00"/>
        <d v="2025-10-11T00:00:00"/>
        <d v="2025-10-12T00:00:00"/>
        <d v="2025-10-13T00:00:00"/>
        <d v="2025-10-15T00:00:00"/>
        <d v="2025-10-17T00:00:00"/>
        <d v="2025-10-19T00:00:00"/>
        <d v="2025-10-22T00:00:00"/>
        <d v="2025-10-24T00:00:00"/>
        <d v="2025-10-25T00:00:00"/>
        <d v="2025-10-28T00:00:00"/>
        <d v="2025-10-29T00:00:00"/>
        <d v="2025-10-30T00:00:00"/>
        <d v="2025-11-02T00:00:00"/>
        <d v="2025-11-03T00:00:00"/>
        <d v="2025-11-04T00:00:00"/>
        <d v="2025-11-05T00:00:00"/>
        <d v="2025-11-06T00:00:00"/>
        <d v="2025-11-07T00:00:00"/>
        <d v="2025-11-11T00:00:00"/>
        <d v="2025-11-13T00:00:00"/>
        <d v="2025-11-14T00:00:00"/>
        <d v="2025-11-17T00:00:00"/>
        <d v="2025-11-18T00:00:00"/>
        <d v="2025-11-22T00:00:00"/>
        <d v="2025-11-23T00:00:00"/>
        <d v="2025-11-24T00:00:00"/>
        <d v="2025-11-26T00:00:00"/>
        <d v="2025-11-27T00:00:00"/>
        <d v="2025-11-29T00:00:00"/>
        <d v="2025-11-30T00:00:00"/>
        <d v="2025-12-01T00:00:00"/>
        <d v="2025-12-02T00:00:00"/>
        <d v="2025-12-03T00:00:00"/>
        <d v="2025-12-06T00:00:00"/>
        <d v="2025-12-07T00:00:00"/>
        <d v="2025-12-09T00:00:00"/>
        <d v="2025-12-10T00:00:00"/>
        <d v="2025-12-14T00:00:00"/>
        <d v="2025-12-15T00:00:00"/>
        <d v="2025-12-17T00:00:00"/>
        <d v="2025-12-20T00:00:00"/>
        <d v="2025-12-21T00:00:00"/>
        <d v="2025-12-22T00:00:00"/>
        <d v="2025-12-25T00:00:00"/>
        <d v="2025-12-26T00:00:00"/>
        <d v="2025-12-27T00:00:00"/>
        <d v="2025-12-29T00:00:00"/>
      </sharedItems>
      <fieldGroup par="11" base="1">
        <rangePr groupBy="days" startDate="2025-01-04T00:00:00" endDate="2025-12-30T00:00:00"/>
        <groupItems count="368">
          <s v="&lt;1/4/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25"/>
        </groupItems>
      </fieldGroup>
    </cacheField>
    <cacheField name="Wilayah" numFmtId="0">
      <sharedItems count="11">
        <s v="Semarang"/>
        <s v="Yogyakarta"/>
        <s v="Malang"/>
        <s v="Bandung"/>
        <s v="Makassar"/>
        <s v="Surabaya"/>
        <s v="Palembang"/>
        <s v="Medan"/>
        <s v="Denpasar"/>
        <s v="Jakarta"/>
        <s v="Nn"/>
      </sharedItems>
    </cacheField>
    <cacheField name="Kategori_Produk" numFmtId="0">
      <sharedItems count="5">
        <s v="Kecantikan"/>
        <s v="Rumah Tangga"/>
        <s v="Olahraga"/>
        <s v="Elektronik"/>
        <s v="Fashion"/>
      </sharedItems>
    </cacheField>
    <cacheField name="Nama_Produk" numFmtId="0">
      <sharedItems count="24">
        <s v="Masker Wajah"/>
        <s v="Wajan Anti Lengket"/>
        <s v="Sabun Cuci Muka"/>
        <s v="Botol Minum 1L"/>
        <s v="Botol Shaker"/>
        <s v="Mouse Wireless"/>
        <s v="Charger Fast Charging"/>
        <s v="Kemeja Flanel"/>
        <s v="Kotak Penyimpanan"/>
        <s v="Speaker Portable"/>
        <s v="Earphone Bluetooth"/>
        <s v="Resistance Band"/>
        <s v="Lotion Pelembab"/>
        <s v="Kabel Data USB-C"/>
        <s v="Power Bank 10000mAh"/>
        <s v="Jaket Hoodie"/>
        <s v="Tali Skipping"/>
        <s v="Rak Sepatu Lipat"/>
        <s v="Serum Vitamin C"/>
        <s v="Sapu Lidi"/>
        <s v="Topi Baseball"/>
        <s v="Celana Jeans"/>
        <s v="Matras Yoga"/>
        <s v="Kaos Polos"/>
      </sharedItems>
    </cacheField>
    <cacheField name="Jumlah" numFmtId="0">
      <sharedItems containsSemiMixedTypes="0" containsString="0" containsNumber="1" containsInteger="1" minValue="1" maxValue="25"/>
    </cacheField>
    <cacheField name="Harga_Satuan" numFmtId="164">
      <sharedItems containsSemiMixedTypes="0" containsString="0" containsNumber="1" containsInteger="1" minValue="18000" maxValue="249000"/>
    </cacheField>
    <cacheField name="Total_Penjualan" numFmtId="164">
      <sharedItems containsSemiMixedTypes="0" containsString="0" containsNumber="1" containsInteger="1" minValue="29000" maxValue="4875000" count="197">
        <n v="870000"/>
        <n v="608000"/>
        <n v="280000"/>
        <n v="410000"/>
        <n v="1624000"/>
        <n v="2484000"/>
        <n v="4550000"/>
        <n v="848000"/>
        <n v="1392000"/>
        <n v="2970000"/>
        <n v="611000"/>
        <n v="1035000"/>
        <n v="1320000"/>
        <n v="1342000"/>
        <n v="1410000"/>
        <n v="300000"/>
        <n v="708000"/>
        <n v="2540000"/>
        <n v="2904000"/>
        <n v="2325000"/>
        <n v="1674000"/>
        <n v="688000"/>
        <n v="76000"/>
        <n v="336000"/>
        <n v="741000"/>
        <n v="1743000"/>
        <n v="2360000"/>
        <n v="159000"/>
        <n v="1695000"/>
        <n v="345000"/>
        <n v="864000"/>
        <n v="270000"/>
        <n v="3525000"/>
        <n v="320000"/>
        <n v="1296000"/>
        <n v="276000"/>
        <n v="3952000"/>
        <n v="192000"/>
        <n v="3197000"/>
        <n v="936000"/>
        <n v="3402000"/>
        <n v="2772000"/>
        <n v="2200000"/>
        <n v="2576000"/>
        <n v="2560000"/>
        <n v="1656000"/>
        <n v="1125000"/>
        <n v="1260000"/>
        <n v="2115000"/>
        <n v="1190000"/>
        <n v="396000"/>
        <n v="1258000"/>
        <n v="2975000"/>
        <n v="1224000"/>
        <n v="1067000"/>
        <n v="456000"/>
        <n v="1944000"/>
        <n v="959000"/>
        <n v="3175000"/>
        <n v="1005000"/>
        <n v="1426000"/>
        <n v="296000"/>
        <n v="1395000"/>
        <n v="1330000"/>
        <n v="2145000"/>
        <n v="900000"/>
        <n v="1700000"/>
        <n v="384000"/>
        <n v="1638000"/>
        <n v="1605000"/>
        <n v="174000"/>
        <n v="928000"/>
        <n v="1168000"/>
        <n v="500000"/>
        <n v="29000"/>
        <n v="2924000"/>
        <n v="1950000"/>
        <n v="400000"/>
        <n v="1403000"/>
        <n v="672000"/>
        <n v="828000"/>
        <n v="2064000"/>
        <n v="745000"/>
        <n v="220000"/>
        <n v="462000"/>
        <n v="1775000"/>
        <n v="504000"/>
        <n v="520000"/>
        <n v="1845000"/>
        <n v="1710000"/>
        <n v="1547000"/>
        <n v="1387000"/>
        <n v="267000"/>
        <n v="346000"/>
        <n v="1425000"/>
        <n v="1690000"/>
        <n v="913000"/>
        <n v="130000"/>
        <n v="273000"/>
        <n v="888000"/>
        <n v="3240000"/>
        <n v="624000"/>
        <n v="658000"/>
        <n v="944000"/>
        <n v="2562000"/>
        <n v="94000"/>
        <n v="4851000"/>
        <n v="1280000"/>
        <n v="1308000"/>
        <n v="1104000"/>
        <n v="39000"/>
        <n v="1219000"/>
        <n v="1160000"/>
        <n v="682000"/>
        <n v="700000"/>
        <n v="572000"/>
        <n v="1680000"/>
        <n v="2880000"/>
        <n v="1470000"/>
        <n v="222000"/>
        <n v="333000"/>
        <n v="671000"/>
        <n v="2150000"/>
        <n v="435000"/>
        <n v="1980000"/>
        <n v="1665000"/>
        <n v="2921000"/>
        <n v="285000"/>
        <n v="420000"/>
        <n v="152000"/>
        <n v="1564000"/>
        <n v="1083000"/>
        <n v="475000"/>
        <n v="63000"/>
        <n v="830000"/>
        <n v="184000"/>
        <n v="984000"/>
        <n v="2016000"/>
        <n v="1632000"/>
        <n v="468000"/>
        <n v="1716000"/>
        <n v="2541000"/>
        <n v="834000"/>
        <n v="1620000"/>
        <n v="896000"/>
        <n v="414000"/>
        <n v="826000"/>
        <n v="291000"/>
        <n v="4086000"/>
        <n v="1748000"/>
        <n v="102000"/>
        <n v="854000"/>
        <n v="4728000"/>
        <n v="375000"/>
        <n v="2040000"/>
        <n v="3360000"/>
        <n v="1200000"/>
        <n v="1092000"/>
        <n v="3102000"/>
        <n v="304000"/>
        <n v="216000"/>
        <n v="1359000"/>
        <n v="646000"/>
        <n v="4875000"/>
        <n v="2580000"/>
        <n v="1275000"/>
        <n v="2944000"/>
        <n v="416000"/>
        <n v="408000"/>
        <n v="2800000"/>
        <n v="1068000"/>
        <n v="432000"/>
        <n v="1240000"/>
        <n v="1475000"/>
        <n v="873000"/>
        <n v="1491000"/>
        <n v="1872000"/>
        <n v="92000"/>
        <n v="494000"/>
        <n v="3608000"/>
        <n v="32000"/>
        <n v="2640000"/>
        <n v="640000"/>
        <n v="670000"/>
        <n v="1089000"/>
        <n v="2812000"/>
        <n v="1232000"/>
        <n v="2394000"/>
        <n v="406000"/>
        <n v="71000"/>
        <n v="1562000"/>
        <n v="1926000"/>
        <n v="1365000"/>
        <n v="1404000"/>
        <n v="1290000"/>
        <n v="560000"/>
        <n v="238000"/>
      </sharedItems>
    </cacheField>
    <cacheField name="Metode_Pembayaran" numFmtId="0">
      <sharedItems count="6">
        <s v="QRIS"/>
        <s v="Kartu Kredit"/>
        <s v="E-Wallet"/>
        <s v="Transfer Bank"/>
        <s v="COD"/>
        <s v="Nn"/>
      </sharedItems>
    </cacheField>
    <cacheField name="Segmen_Pelanggan" numFmtId="0">
      <sharedItems count="3">
        <s v="Retail"/>
        <s v="Grosir"/>
        <s v="Reseller"/>
      </sharedItems>
    </cacheField>
    <cacheField name="Bulan" numFmtId="0">
      <sharedItems containsMixedTypes="1" containsNumber="1" containsInteger="1" minValue="1" maxValue="12" count="24">
        <s v="January"/>
        <s v="February"/>
        <s v="March"/>
        <s v="April"/>
        <s v="May"/>
        <s v="June"/>
        <s v="July"/>
        <s v="August"/>
        <s v="September"/>
        <s v="October"/>
        <s v="November"/>
        <s v="December"/>
        <n v="5" u="1"/>
        <n v="2" u="1"/>
        <n v="6" u="1"/>
        <n v="7" u="1"/>
        <n v="1" u="1"/>
        <n v="3" u="1"/>
        <n v="8" u="1"/>
        <n v="9" u="1"/>
        <n v="10" u="1"/>
        <n v="11" u="1"/>
        <n v="4" u="1"/>
        <n v="12" u="1"/>
      </sharedItems>
    </cacheField>
    <cacheField name="Months" numFmtId="0" databaseField="0">
      <fieldGroup base="1">
        <rangePr groupBy="months" startDate="2025-01-04T00:00:00" endDate="2025-12-30T00:00:00"/>
        <groupItems count="14">
          <s v="&lt;1/4/2025"/>
          <s v="Jan"/>
          <s v="Feb"/>
          <s v="Mar"/>
          <s v="Apr"/>
          <s v="May"/>
          <s v="Jun"/>
          <s v="Jul"/>
          <s v="Aug"/>
          <s v="Sep"/>
          <s v="Oct"/>
          <s v="Nov"/>
          <s v="Dec"/>
          <s v="&gt;12/30/2025"/>
        </groupItems>
      </fieldGroup>
    </cacheField>
  </cacheFields>
  <extLst>
    <ext xmlns:x14="http://schemas.microsoft.com/office/spreadsheetml/2009/9/main" uri="{725AE2AE-9491-48be-B2B4-4EB974FC3084}">
      <x14:pivotCacheDefinition pivotCacheId="19075515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s v="ORD-1207"/>
    <x v="0"/>
    <x v="0"/>
    <x v="0"/>
    <x v="0"/>
    <n v="15"/>
    <n v="58000"/>
    <x v="0"/>
    <x v="0"/>
    <x v="0"/>
    <x v="0"/>
  </r>
  <r>
    <s v="ORD-1072"/>
    <x v="1"/>
    <x v="1"/>
    <x v="1"/>
    <x v="1"/>
    <n v="16"/>
    <n v="38000"/>
    <x v="1"/>
    <x v="1"/>
    <x v="0"/>
    <x v="0"/>
  </r>
  <r>
    <s v="ORD-1087"/>
    <x v="2"/>
    <x v="2"/>
    <x v="0"/>
    <x v="2"/>
    <n v="8"/>
    <n v="35000"/>
    <x v="2"/>
    <x v="2"/>
    <x v="0"/>
    <x v="0"/>
  </r>
  <r>
    <s v="ORD-1115"/>
    <x v="3"/>
    <x v="3"/>
    <x v="1"/>
    <x v="3"/>
    <n v="5"/>
    <n v="82000"/>
    <x v="3"/>
    <x v="3"/>
    <x v="0"/>
    <x v="0"/>
  </r>
  <r>
    <s v="ORD-1191"/>
    <x v="3"/>
    <x v="4"/>
    <x v="1"/>
    <x v="3"/>
    <n v="14"/>
    <n v="116000"/>
    <x v="4"/>
    <x v="1"/>
    <x v="0"/>
    <x v="0"/>
  </r>
  <r>
    <s v="ORD-1156"/>
    <x v="3"/>
    <x v="2"/>
    <x v="2"/>
    <x v="4"/>
    <n v="23"/>
    <n v="108000"/>
    <x v="5"/>
    <x v="4"/>
    <x v="0"/>
    <x v="0"/>
  </r>
  <r>
    <s v="ORD-1178"/>
    <x v="4"/>
    <x v="5"/>
    <x v="3"/>
    <x v="5"/>
    <n v="25"/>
    <n v="182000"/>
    <x v="6"/>
    <x v="0"/>
    <x v="0"/>
    <x v="0"/>
  </r>
  <r>
    <s v="ORD-1020"/>
    <x v="5"/>
    <x v="4"/>
    <x v="3"/>
    <x v="6"/>
    <n v="8"/>
    <n v="106000"/>
    <x v="7"/>
    <x v="0"/>
    <x v="0"/>
    <x v="0"/>
  </r>
  <r>
    <s v="ORD-1203"/>
    <x v="6"/>
    <x v="6"/>
    <x v="0"/>
    <x v="0"/>
    <n v="24"/>
    <n v="58000"/>
    <x v="8"/>
    <x v="0"/>
    <x v="0"/>
    <x v="0"/>
  </r>
  <r>
    <s v="ORD-1036"/>
    <x v="7"/>
    <x v="4"/>
    <x v="4"/>
    <x v="7"/>
    <n v="22"/>
    <n v="135000"/>
    <x v="9"/>
    <x v="1"/>
    <x v="1"/>
    <x v="0"/>
  </r>
  <r>
    <s v="ORD-1161"/>
    <x v="8"/>
    <x v="4"/>
    <x v="1"/>
    <x v="8"/>
    <n v="13"/>
    <n v="47000"/>
    <x v="10"/>
    <x v="2"/>
    <x v="0"/>
    <x v="0"/>
  </r>
  <r>
    <s v="ORD-1047"/>
    <x v="9"/>
    <x v="7"/>
    <x v="0"/>
    <x v="2"/>
    <n v="15"/>
    <n v="69000"/>
    <x v="11"/>
    <x v="1"/>
    <x v="0"/>
    <x v="0"/>
  </r>
  <r>
    <s v="ORD-1162"/>
    <x v="10"/>
    <x v="4"/>
    <x v="1"/>
    <x v="3"/>
    <n v="12"/>
    <n v="110000"/>
    <x v="12"/>
    <x v="1"/>
    <x v="0"/>
    <x v="0"/>
  </r>
  <r>
    <s v="ORD-1012"/>
    <x v="10"/>
    <x v="5"/>
    <x v="4"/>
    <x v="7"/>
    <n v="22"/>
    <n v="61000"/>
    <x v="13"/>
    <x v="1"/>
    <x v="0"/>
    <x v="0"/>
  </r>
  <r>
    <s v="ORD-1220"/>
    <x v="10"/>
    <x v="7"/>
    <x v="3"/>
    <x v="9"/>
    <n v="15"/>
    <n v="94000"/>
    <x v="14"/>
    <x v="0"/>
    <x v="1"/>
    <x v="0"/>
  </r>
  <r>
    <s v="ORD-1200"/>
    <x v="11"/>
    <x v="2"/>
    <x v="4"/>
    <x v="7"/>
    <n v="2"/>
    <n v="150000"/>
    <x v="15"/>
    <x v="2"/>
    <x v="0"/>
    <x v="0"/>
  </r>
  <r>
    <s v="ORD-1142"/>
    <x v="12"/>
    <x v="4"/>
    <x v="3"/>
    <x v="10"/>
    <n v="4"/>
    <n v="177000"/>
    <x v="16"/>
    <x v="0"/>
    <x v="2"/>
    <x v="0"/>
  </r>
  <r>
    <s v="ORD-1085"/>
    <x v="13"/>
    <x v="7"/>
    <x v="2"/>
    <x v="11"/>
    <n v="20"/>
    <n v="127000"/>
    <x v="17"/>
    <x v="3"/>
    <x v="0"/>
    <x v="0"/>
  </r>
  <r>
    <s v="ORD-1022"/>
    <x v="13"/>
    <x v="5"/>
    <x v="3"/>
    <x v="9"/>
    <n v="24"/>
    <n v="121000"/>
    <x v="18"/>
    <x v="0"/>
    <x v="0"/>
    <x v="0"/>
  </r>
  <r>
    <s v="ORD-1180"/>
    <x v="14"/>
    <x v="3"/>
    <x v="0"/>
    <x v="12"/>
    <n v="16"/>
    <n v="38000"/>
    <x v="1"/>
    <x v="4"/>
    <x v="2"/>
    <x v="0"/>
  </r>
  <r>
    <s v="ORD-1053"/>
    <x v="15"/>
    <x v="7"/>
    <x v="0"/>
    <x v="12"/>
    <n v="25"/>
    <n v="93000"/>
    <x v="19"/>
    <x v="1"/>
    <x v="0"/>
    <x v="1"/>
  </r>
  <r>
    <s v="ORD-1019"/>
    <x v="16"/>
    <x v="4"/>
    <x v="3"/>
    <x v="6"/>
    <n v="18"/>
    <n v="93000"/>
    <x v="20"/>
    <x v="3"/>
    <x v="0"/>
    <x v="1"/>
  </r>
  <r>
    <s v="ORD-1215"/>
    <x v="16"/>
    <x v="2"/>
    <x v="3"/>
    <x v="13"/>
    <n v="16"/>
    <n v="43000"/>
    <x v="21"/>
    <x v="2"/>
    <x v="2"/>
    <x v="1"/>
  </r>
  <r>
    <s v="ORD-1108"/>
    <x v="16"/>
    <x v="8"/>
    <x v="1"/>
    <x v="1"/>
    <n v="4"/>
    <n v="19000"/>
    <x v="22"/>
    <x v="3"/>
    <x v="0"/>
    <x v="1"/>
  </r>
  <r>
    <s v="ORD-1010"/>
    <x v="17"/>
    <x v="7"/>
    <x v="2"/>
    <x v="11"/>
    <n v="7"/>
    <n v="48000"/>
    <x v="23"/>
    <x v="4"/>
    <x v="0"/>
    <x v="1"/>
  </r>
  <r>
    <s v="ORD-1073"/>
    <x v="17"/>
    <x v="6"/>
    <x v="0"/>
    <x v="2"/>
    <n v="19"/>
    <n v="39000"/>
    <x v="24"/>
    <x v="0"/>
    <x v="1"/>
    <x v="1"/>
  </r>
  <r>
    <s v="ORD-1058"/>
    <x v="18"/>
    <x v="9"/>
    <x v="3"/>
    <x v="14"/>
    <n v="7"/>
    <n v="249000"/>
    <x v="25"/>
    <x v="2"/>
    <x v="0"/>
    <x v="1"/>
  </r>
  <r>
    <s v="ORD-1079"/>
    <x v="19"/>
    <x v="9"/>
    <x v="4"/>
    <x v="15"/>
    <n v="20"/>
    <n v="118000"/>
    <x v="26"/>
    <x v="4"/>
    <x v="2"/>
    <x v="1"/>
  </r>
  <r>
    <s v="ORD-1030"/>
    <x v="20"/>
    <x v="9"/>
    <x v="0"/>
    <x v="2"/>
    <n v="3"/>
    <n v="53000"/>
    <x v="27"/>
    <x v="4"/>
    <x v="2"/>
    <x v="1"/>
  </r>
  <r>
    <s v="ORD-1139"/>
    <x v="21"/>
    <x v="5"/>
    <x v="2"/>
    <x v="16"/>
    <n v="15"/>
    <n v="113000"/>
    <x v="28"/>
    <x v="2"/>
    <x v="0"/>
    <x v="1"/>
  </r>
  <r>
    <s v="ORD-1154"/>
    <x v="22"/>
    <x v="10"/>
    <x v="1"/>
    <x v="17"/>
    <n v="5"/>
    <n v="69000"/>
    <x v="29"/>
    <x v="4"/>
    <x v="0"/>
    <x v="1"/>
  </r>
  <r>
    <s v="ORD-1128"/>
    <x v="23"/>
    <x v="0"/>
    <x v="0"/>
    <x v="12"/>
    <n v="16"/>
    <n v="54000"/>
    <x v="30"/>
    <x v="0"/>
    <x v="0"/>
    <x v="1"/>
  </r>
  <r>
    <s v="ORD-1211"/>
    <x v="23"/>
    <x v="2"/>
    <x v="0"/>
    <x v="18"/>
    <n v="3"/>
    <n v="90000"/>
    <x v="31"/>
    <x v="0"/>
    <x v="0"/>
    <x v="1"/>
  </r>
  <r>
    <s v="ORD-1074"/>
    <x v="24"/>
    <x v="7"/>
    <x v="3"/>
    <x v="6"/>
    <n v="25"/>
    <n v="141000"/>
    <x v="32"/>
    <x v="1"/>
    <x v="1"/>
    <x v="1"/>
  </r>
  <r>
    <s v="ORD-1084"/>
    <x v="25"/>
    <x v="4"/>
    <x v="1"/>
    <x v="19"/>
    <n v="4"/>
    <n v="80000"/>
    <x v="33"/>
    <x v="0"/>
    <x v="0"/>
    <x v="1"/>
  </r>
  <r>
    <s v="ORD-1202"/>
    <x v="25"/>
    <x v="1"/>
    <x v="4"/>
    <x v="20"/>
    <n v="24"/>
    <n v="54000"/>
    <x v="34"/>
    <x v="2"/>
    <x v="1"/>
    <x v="1"/>
  </r>
  <r>
    <s v="ORD-1111"/>
    <x v="26"/>
    <x v="4"/>
    <x v="2"/>
    <x v="11"/>
    <n v="2"/>
    <n v="138000"/>
    <x v="35"/>
    <x v="1"/>
    <x v="0"/>
    <x v="1"/>
  </r>
  <r>
    <s v="ORD-1060"/>
    <x v="27"/>
    <x v="1"/>
    <x v="3"/>
    <x v="10"/>
    <n v="19"/>
    <n v="208000"/>
    <x v="36"/>
    <x v="5"/>
    <x v="2"/>
    <x v="1"/>
  </r>
  <r>
    <s v="ORD-1219"/>
    <x v="28"/>
    <x v="9"/>
    <x v="0"/>
    <x v="2"/>
    <n v="8"/>
    <n v="24000"/>
    <x v="37"/>
    <x v="0"/>
    <x v="2"/>
    <x v="1"/>
  </r>
  <r>
    <s v="ORD-1059"/>
    <x v="29"/>
    <x v="1"/>
    <x v="4"/>
    <x v="21"/>
    <n v="23"/>
    <n v="139000"/>
    <x v="38"/>
    <x v="2"/>
    <x v="1"/>
    <x v="1"/>
  </r>
  <r>
    <s v="ORD-1069"/>
    <x v="30"/>
    <x v="7"/>
    <x v="1"/>
    <x v="3"/>
    <n v="24"/>
    <n v="39000"/>
    <x v="39"/>
    <x v="1"/>
    <x v="0"/>
    <x v="2"/>
  </r>
  <r>
    <s v="ORD-1155"/>
    <x v="31"/>
    <x v="9"/>
    <x v="4"/>
    <x v="21"/>
    <n v="21"/>
    <n v="162000"/>
    <x v="40"/>
    <x v="1"/>
    <x v="0"/>
    <x v="2"/>
  </r>
  <r>
    <s v="ORD-1049"/>
    <x v="31"/>
    <x v="8"/>
    <x v="4"/>
    <x v="21"/>
    <n v="22"/>
    <n v="126000"/>
    <x v="41"/>
    <x v="0"/>
    <x v="0"/>
    <x v="2"/>
  </r>
  <r>
    <s v="ORD-1043"/>
    <x v="32"/>
    <x v="0"/>
    <x v="2"/>
    <x v="11"/>
    <n v="22"/>
    <n v="100000"/>
    <x v="42"/>
    <x v="2"/>
    <x v="0"/>
    <x v="2"/>
  </r>
  <r>
    <s v="ORD-1153"/>
    <x v="33"/>
    <x v="9"/>
    <x v="1"/>
    <x v="1"/>
    <n v="23"/>
    <n v="112000"/>
    <x v="43"/>
    <x v="0"/>
    <x v="0"/>
    <x v="2"/>
  </r>
  <r>
    <s v="ORD-1118"/>
    <x v="34"/>
    <x v="5"/>
    <x v="4"/>
    <x v="15"/>
    <n v="20"/>
    <n v="128000"/>
    <x v="44"/>
    <x v="1"/>
    <x v="0"/>
    <x v="2"/>
  </r>
  <r>
    <s v="ORD-1052"/>
    <x v="35"/>
    <x v="7"/>
    <x v="0"/>
    <x v="0"/>
    <n v="23"/>
    <n v="72000"/>
    <x v="45"/>
    <x v="0"/>
    <x v="0"/>
    <x v="2"/>
  </r>
  <r>
    <s v="ORD-1015"/>
    <x v="36"/>
    <x v="4"/>
    <x v="4"/>
    <x v="20"/>
    <n v="25"/>
    <n v="45000"/>
    <x v="46"/>
    <x v="3"/>
    <x v="0"/>
    <x v="2"/>
  </r>
  <r>
    <s v="ORD-1037"/>
    <x v="37"/>
    <x v="7"/>
    <x v="4"/>
    <x v="7"/>
    <n v="14"/>
    <n v="90000"/>
    <x v="47"/>
    <x v="1"/>
    <x v="2"/>
    <x v="2"/>
  </r>
  <r>
    <s v="ORD-1025"/>
    <x v="38"/>
    <x v="6"/>
    <x v="3"/>
    <x v="9"/>
    <n v="9"/>
    <n v="235000"/>
    <x v="48"/>
    <x v="0"/>
    <x v="2"/>
    <x v="2"/>
  </r>
  <r>
    <s v="ORD-1131"/>
    <x v="39"/>
    <x v="3"/>
    <x v="0"/>
    <x v="0"/>
    <n v="17"/>
    <n v="70000"/>
    <x v="49"/>
    <x v="3"/>
    <x v="0"/>
    <x v="2"/>
  </r>
  <r>
    <s v="ORD-1164"/>
    <x v="40"/>
    <x v="2"/>
    <x v="1"/>
    <x v="19"/>
    <n v="4"/>
    <n v="99000"/>
    <x v="50"/>
    <x v="1"/>
    <x v="2"/>
    <x v="3"/>
  </r>
  <r>
    <s v="ORD-1163"/>
    <x v="41"/>
    <x v="8"/>
    <x v="0"/>
    <x v="18"/>
    <n v="17"/>
    <n v="74000"/>
    <x v="51"/>
    <x v="1"/>
    <x v="2"/>
    <x v="3"/>
  </r>
  <r>
    <s v="ORD-1130"/>
    <x v="42"/>
    <x v="0"/>
    <x v="4"/>
    <x v="7"/>
    <n v="25"/>
    <n v="119000"/>
    <x v="52"/>
    <x v="1"/>
    <x v="2"/>
    <x v="3"/>
  </r>
  <r>
    <s v="ORD-1033"/>
    <x v="42"/>
    <x v="0"/>
    <x v="2"/>
    <x v="16"/>
    <n v="9"/>
    <n v="136000"/>
    <x v="53"/>
    <x v="4"/>
    <x v="0"/>
    <x v="3"/>
  </r>
  <r>
    <s v="ORD-1112"/>
    <x v="43"/>
    <x v="1"/>
    <x v="3"/>
    <x v="13"/>
    <n v="11"/>
    <n v="97000"/>
    <x v="54"/>
    <x v="3"/>
    <x v="2"/>
    <x v="3"/>
  </r>
  <r>
    <s v="ORD-1145"/>
    <x v="44"/>
    <x v="4"/>
    <x v="0"/>
    <x v="0"/>
    <n v="8"/>
    <n v="57000"/>
    <x v="55"/>
    <x v="3"/>
    <x v="0"/>
    <x v="3"/>
  </r>
  <r>
    <s v="ORD-1199"/>
    <x v="44"/>
    <x v="7"/>
    <x v="2"/>
    <x v="11"/>
    <n v="18"/>
    <n v="108000"/>
    <x v="56"/>
    <x v="0"/>
    <x v="0"/>
    <x v="3"/>
  </r>
  <r>
    <s v="ORD-1039"/>
    <x v="45"/>
    <x v="7"/>
    <x v="3"/>
    <x v="5"/>
    <n v="7"/>
    <n v="137000"/>
    <x v="57"/>
    <x v="4"/>
    <x v="0"/>
    <x v="3"/>
  </r>
  <r>
    <s v="ORD-1081"/>
    <x v="46"/>
    <x v="1"/>
    <x v="2"/>
    <x v="22"/>
    <n v="25"/>
    <n v="127000"/>
    <x v="58"/>
    <x v="2"/>
    <x v="0"/>
    <x v="3"/>
  </r>
  <r>
    <s v="ORD-1007"/>
    <x v="47"/>
    <x v="5"/>
    <x v="0"/>
    <x v="18"/>
    <n v="15"/>
    <n v="67000"/>
    <x v="59"/>
    <x v="2"/>
    <x v="2"/>
    <x v="3"/>
  </r>
  <r>
    <s v="ORD-1051"/>
    <x v="48"/>
    <x v="0"/>
    <x v="0"/>
    <x v="2"/>
    <n v="23"/>
    <n v="62000"/>
    <x v="60"/>
    <x v="0"/>
    <x v="0"/>
    <x v="4"/>
  </r>
  <r>
    <s v="ORD-1021"/>
    <x v="49"/>
    <x v="8"/>
    <x v="0"/>
    <x v="0"/>
    <n v="4"/>
    <n v="74000"/>
    <x v="61"/>
    <x v="1"/>
    <x v="2"/>
    <x v="4"/>
  </r>
  <r>
    <s v="ORD-1031"/>
    <x v="50"/>
    <x v="4"/>
    <x v="1"/>
    <x v="17"/>
    <n v="15"/>
    <n v="93000"/>
    <x v="62"/>
    <x v="0"/>
    <x v="0"/>
    <x v="4"/>
  </r>
  <r>
    <s v="ORD-1182"/>
    <x v="51"/>
    <x v="3"/>
    <x v="3"/>
    <x v="13"/>
    <n v="10"/>
    <n v="133000"/>
    <x v="63"/>
    <x v="4"/>
    <x v="1"/>
    <x v="4"/>
  </r>
  <r>
    <s v="ORD-1038"/>
    <x v="52"/>
    <x v="0"/>
    <x v="4"/>
    <x v="23"/>
    <n v="13"/>
    <n v="165000"/>
    <x v="64"/>
    <x v="1"/>
    <x v="0"/>
    <x v="4"/>
  </r>
  <r>
    <s v="ORD-1029"/>
    <x v="53"/>
    <x v="7"/>
    <x v="1"/>
    <x v="17"/>
    <n v="9"/>
    <n v="100000"/>
    <x v="65"/>
    <x v="4"/>
    <x v="1"/>
    <x v="4"/>
  </r>
  <r>
    <s v="ORD-1170"/>
    <x v="53"/>
    <x v="8"/>
    <x v="4"/>
    <x v="20"/>
    <n v="10"/>
    <n v="170000"/>
    <x v="66"/>
    <x v="3"/>
    <x v="0"/>
    <x v="4"/>
  </r>
  <r>
    <s v="ORD-1076"/>
    <x v="54"/>
    <x v="5"/>
    <x v="4"/>
    <x v="7"/>
    <n v="6"/>
    <n v="64000"/>
    <x v="67"/>
    <x v="1"/>
    <x v="2"/>
    <x v="4"/>
  </r>
  <r>
    <s v="ORD-1094"/>
    <x v="54"/>
    <x v="4"/>
    <x v="2"/>
    <x v="16"/>
    <n v="21"/>
    <n v="78000"/>
    <x v="68"/>
    <x v="4"/>
    <x v="2"/>
    <x v="4"/>
  </r>
  <r>
    <s v="ORD-1080"/>
    <x v="55"/>
    <x v="2"/>
    <x v="2"/>
    <x v="16"/>
    <n v="15"/>
    <n v="107000"/>
    <x v="69"/>
    <x v="4"/>
    <x v="0"/>
    <x v="4"/>
  </r>
  <r>
    <s v="ORD-1046"/>
    <x v="56"/>
    <x v="2"/>
    <x v="2"/>
    <x v="11"/>
    <n v="3"/>
    <n v="58000"/>
    <x v="70"/>
    <x v="2"/>
    <x v="0"/>
    <x v="4"/>
  </r>
  <r>
    <s v="ORD-1102"/>
    <x v="57"/>
    <x v="7"/>
    <x v="2"/>
    <x v="11"/>
    <n v="8"/>
    <n v="116000"/>
    <x v="71"/>
    <x v="2"/>
    <x v="2"/>
    <x v="4"/>
  </r>
  <r>
    <s v="ORD-1088"/>
    <x v="58"/>
    <x v="2"/>
    <x v="1"/>
    <x v="1"/>
    <n v="16"/>
    <n v="73000"/>
    <x v="72"/>
    <x v="1"/>
    <x v="0"/>
    <x v="4"/>
  </r>
  <r>
    <s v="ORD-1075"/>
    <x v="59"/>
    <x v="1"/>
    <x v="0"/>
    <x v="18"/>
    <n v="19"/>
    <n v="32000"/>
    <x v="1"/>
    <x v="2"/>
    <x v="2"/>
    <x v="5"/>
  </r>
  <r>
    <s v="ORD-1090"/>
    <x v="59"/>
    <x v="1"/>
    <x v="2"/>
    <x v="16"/>
    <n v="5"/>
    <n v="100000"/>
    <x v="73"/>
    <x v="0"/>
    <x v="0"/>
    <x v="5"/>
  </r>
  <r>
    <s v="ORD-1214"/>
    <x v="60"/>
    <x v="9"/>
    <x v="0"/>
    <x v="18"/>
    <n v="1"/>
    <n v="29000"/>
    <x v="74"/>
    <x v="1"/>
    <x v="0"/>
    <x v="5"/>
  </r>
  <r>
    <s v="ORD-1183"/>
    <x v="61"/>
    <x v="7"/>
    <x v="4"/>
    <x v="21"/>
    <n v="17"/>
    <n v="172000"/>
    <x v="75"/>
    <x v="3"/>
    <x v="1"/>
    <x v="5"/>
  </r>
  <r>
    <s v="ORD-1091"/>
    <x v="62"/>
    <x v="7"/>
    <x v="4"/>
    <x v="20"/>
    <n v="13"/>
    <n v="150000"/>
    <x v="76"/>
    <x v="1"/>
    <x v="2"/>
    <x v="5"/>
  </r>
  <r>
    <s v="ORD-1176"/>
    <x v="63"/>
    <x v="7"/>
    <x v="1"/>
    <x v="8"/>
    <n v="10"/>
    <n v="40000"/>
    <x v="77"/>
    <x v="2"/>
    <x v="2"/>
    <x v="5"/>
  </r>
  <r>
    <s v="ORD-1133"/>
    <x v="64"/>
    <x v="3"/>
    <x v="2"/>
    <x v="16"/>
    <n v="23"/>
    <n v="61000"/>
    <x v="78"/>
    <x v="1"/>
    <x v="0"/>
    <x v="5"/>
  </r>
  <r>
    <s v="ORD-1144"/>
    <x v="65"/>
    <x v="3"/>
    <x v="2"/>
    <x v="22"/>
    <n v="21"/>
    <n v="32000"/>
    <x v="79"/>
    <x v="4"/>
    <x v="0"/>
    <x v="5"/>
  </r>
  <r>
    <s v="ORD-1143"/>
    <x v="66"/>
    <x v="5"/>
    <x v="2"/>
    <x v="4"/>
    <n v="12"/>
    <n v="69000"/>
    <x v="80"/>
    <x v="0"/>
    <x v="0"/>
    <x v="5"/>
  </r>
  <r>
    <s v="ORD-1034"/>
    <x v="66"/>
    <x v="3"/>
    <x v="1"/>
    <x v="17"/>
    <n v="24"/>
    <n v="86000"/>
    <x v="81"/>
    <x v="3"/>
    <x v="1"/>
    <x v="5"/>
  </r>
  <r>
    <s v="ORD-1189"/>
    <x v="66"/>
    <x v="8"/>
    <x v="2"/>
    <x v="16"/>
    <n v="5"/>
    <n v="149000"/>
    <x v="82"/>
    <x v="0"/>
    <x v="0"/>
    <x v="5"/>
  </r>
  <r>
    <s v="ORD-1204"/>
    <x v="67"/>
    <x v="0"/>
    <x v="0"/>
    <x v="12"/>
    <n v="5"/>
    <n v="44000"/>
    <x v="83"/>
    <x v="3"/>
    <x v="0"/>
    <x v="5"/>
  </r>
  <r>
    <s v="ORD-1188"/>
    <x v="68"/>
    <x v="2"/>
    <x v="1"/>
    <x v="17"/>
    <n v="7"/>
    <n v="66000"/>
    <x v="84"/>
    <x v="5"/>
    <x v="0"/>
    <x v="5"/>
  </r>
  <r>
    <s v="ORD-1004"/>
    <x v="69"/>
    <x v="0"/>
    <x v="4"/>
    <x v="7"/>
    <n v="25"/>
    <n v="71000"/>
    <x v="85"/>
    <x v="4"/>
    <x v="2"/>
    <x v="5"/>
  </r>
  <r>
    <s v="ORD-1127"/>
    <x v="69"/>
    <x v="3"/>
    <x v="1"/>
    <x v="19"/>
    <n v="24"/>
    <n v="21000"/>
    <x v="86"/>
    <x v="0"/>
    <x v="0"/>
    <x v="5"/>
  </r>
  <r>
    <s v="ORD-1181"/>
    <x v="70"/>
    <x v="6"/>
    <x v="4"/>
    <x v="15"/>
    <n v="17"/>
    <n v="72000"/>
    <x v="53"/>
    <x v="3"/>
    <x v="0"/>
    <x v="5"/>
  </r>
  <r>
    <s v="ORD-1054"/>
    <x v="71"/>
    <x v="0"/>
    <x v="0"/>
    <x v="12"/>
    <n v="18"/>
    <n v="48000"/>
    <x v="30"/>
    <x v="1"/>
    <x v="0"/>
    <x v="5"/>
  </r>
  <r>
    <s v="ORD-1016"/>
    <x v="72"/>
    <x v="0"/>
    <x v="4"/>
    <x v="23"/>
    <n v="8"/>
    <n v="65000"/>
    <x v="87"/>
    <x v="3"/>
    <x v="1"/>
    <x v="6"/>
  </r>
  <r>
    <s v="ORD-1116"/>
    <x v="72"/>
    <x v="2"/>
    <x v="2"/>
    <x v="22"/>
    <n v="15"/>
    <n v="123000"/>
    <x v="88"/>
    <x v="0"/>
    <x v="0"/>
    <x v="6"/>
  </r>
  <r>
    <s v="ORD-1186"/>
    <x v="73"/>
    <x v="9"/>
    <x v="0"/>
    <x v="2"/>
    <n v="19"/>
    <n v="90000"/>
    <x v="89"/>
    <x v="3"/>
    <x v="0"/>
    <x v="6"/>
  </r>
  <r>
    <s v="ORD-1097"/>
    <x v="74"/>
    <x v="6"/>
    <x v="4"/>
    <x v="7"/>
    <n v="17"/>
    <n v="91000"/>
    <x v="90"/>
    <x v="0"/>
    <x v="2"/>
    <x v="6"/>
  </r>
  <r>
    <s v="ORD-1152"/>
    <x v="74"/>
    <x v="7"/>
    <x v="0"/>
    <x v="2"/>
    <n v="12"/>
    <n v="32000"/>
    <x v="67"/>
    <x v="4"/>
    <x v="2"/>
    <x v="6"/>
  </r>
  <r>
    <s v="ORD-1193"/>
    <x v="75"/>
    <x v="3"/>
    <x v="4"/>
    <x v="23"/>
    <n v="19"/>
    <n v="73000"/>
    <x v="91"/>
    <x v="4"/>
    <x v="0"/>
    <x v="6"/>
  </r>
  <r>
    <s v="ORD-1057"/>
    <x v="75"/>
    <x v="0"/>
    <x v="0"/>
    <x v="18"/>
    <n v="3"/>
    <n v="89000"/>
    <x v="92"/>
    <x v="4"/>
    <x v="0"/>
    <x v="6"/>
  </r>
  <r>
    <s v="ORD-1092"/>
    <x v="76"/>
    <x v="6"/>
    <x v="4"/>
    <x v="21"/>
    <n v="2"/>
    <n v="173000"/>
    <x v="93"/>
    <x v="3"/>
    <x v="2"/>
    <x v="6"/>
  </r>
  <r>
    <s v="ORD-1055"/>
    <x v="77"/>
    <x v="4"/>
    <x v="0"/>
    <x v="0"/>
    <n v="15"/>
    <n v="95000"/>
    <x v="94"/>
    <x v="3"/>
    <x v="0"/>
    <x v="6"/>
  </r>
  <r>
    <s v="ORD-1158"/>
    <x v="77"/>
    <x v="8"/>
    <x v="3"/>
    <x v="5"/>
    <n v="13"/>
    <n v="130000"/>
    <x v="95"/>
    <x v="3"/>
    <x v="0"/>
    <x v="6"/>
  </r>
  <r>
    <s v="ORD-1190"/>
    <x v="78"/>
    <x v="1"/>
    <x v="1"/>
    <x v="8"/>
    <n v="11"/>
    <n v="83000"/>
    <x v="96"/>
    <x v="0"/>
    <x v="0"/>
    <x v="6"/>
  </r>
  <r>
    <s v="ORD-1198"/>
    <x v="79"/>
    <x v="4"/>
    <x v="4"/>
    <x v="15"/>
    <n v="2"/>
    <n v="65000"/>
    <x v="97"/>
    <x v="4"/>
    <x v="2"/>
    <x v="6"/>
  </r>
  <r>
    <s v="ORD-1206"/>
    <x v="80"/>
    <x v="6"/>
    <x v="2"/>
    <x v="11"/>
    <n v="3"/>
    <n v="91000"/>
    <x v="98"/>
    <x v="4"/>
    <x v="1"/>
    <x v="6"/>
  </r>
  <r>
    <s v="ORD-1194"/>
    <x v="81"/>
    <x v="7"/>
    <x v="0"/>
    <x v="12"/>
    <n v="24"/>
    <n v="37000"/>
    <x v="99"/>
    <x v="2"/>
    <x v="0"/>
    <x v="6"/>
  </r>
  <r>
    <s v="ORD-1104"/>
    <x v="82"/>
    <x v="3"/>
    <x v="4"/>
    <x v="7"/>
    <n v="18"/>
    <n v="180000"/>
    <x v="100"/>
    <x v="2"/>
    <x v="0"/>
    <x v="7"/>
  </r>
  <r>
    <s v="ORD-1157"/>
    <x v="83"/>
    <x v="3"/>
    <x v="3"/>
    <x v="6"/>
    <n v="12"/>
    <n v="52000"/>
    <x v="101"/>
    <x v="0"/>
    <x v="0"/>
    <x v="7"/>
  </r>
  <r>
    <s v="ORD-1002"/>
    <x v="84"/>
    <x v="9"/>
    <x v="3"/>
    <x v="13"/>
    <n v="7"/>
    <n v="94000"/>
    <x v="102"/>
    <x v="2"/>
    <x v="2"/>
    <x v="7"/>
  </r>
  <r>
    <s v="ORD-1023"/>
    <x v="84"/>
    <x v="3"/>
    <x v="1"/>
    <x v="1"/>
    <n v="8"/>
    <n v="118000"/>
    <x v="103"/>
    <x v="3"/>
    <x v="2"/>
    <x v="7"/>
  </r>
  <r>
    <s v="ORD-1165"/>
    <x v="85"/>
    <x v="3"/>
    <x v="0"/>
    <x v="18"/>
    <n v="15"/>
    <n v="75000"/>
    <x v="46"/>
    <x v="3"/>
    <x v="0"/>
    <x v="7"/>
  </r>
  <r>
    <s v="ORD-1062"/>
    <x v="86"/>
    <x v="4"/>
    <x v="3"/>
    <x v="6"/>
    <n v="21"/>
    <n v="122000"/>
    <x v="104"/>
    <x v="1"/>
    <x v="1"/>
    <x v="7"/>
  </r>
  <r>
    <s v="ORD-1056"/>
    <x v="86"/>
    <x v="3"/>
    <x v="0"/>
    <x v="0"/>
    <n v="2"/>
    <n v="47000"/>
    <x v="105"/>
    <x v="4"/>
    <x v="0"/>
    <x v="7"/>
  </r>
  <r>
    <s v="ORD-1129"/>
    <x v="87"/>
    <x v="5"/>
    <x v="1"/>
    <x v="8"/>
    <n v="16"/>
    <n v="20000"/>
    <x v="33"/>
    <x v="0"/>
    <x v="0"/>
    <x v="7"/>
  </r>
  <r>
    <s v="ORD-1119"/>
    <x v="87"/>
    <x v="5"/>
    <x v="3"/>
    <x v="5"/>
    <n v="21"/>
    <n v="231000"/>
    <x v="106"/>
    <x v="2"/>
    <x v="0"/>
    <x v="7"/>
  </r>
  <r>
    <s v="ORD-1041"/>
    <x v="88"/>
    <x v="4"/>
    <x v="1"/>
    <x v="1"/>
    <n v="20"/>
    <n v="64000"/>
    <x v="107"/>
    <x v="4"/>
    <x v="0"/>
    <x v="7"/>
  </r>
  <r>
    <s v="ORD-1042"/>
    <x v="89"/>
    <x v="9"/>
    <x v="2"/>
    <x v="4"/>
    <n v="12"/>
    <n v="109000"/>
    <x v="108"/>
    <x v="4"/>
    <x v="2"/>
    <x v="7"/>
  </r>
  <r>
    <s v="ORD-1167"/>
    <x v="90"/>
    <x v="9"/>
    <x v="4"/>
    <x v="23"/>
    <n v="8"/>
    <n v="138000"/>
    <x v="109"/>
    <x v="3"/>
    <x v="2"/>
    <x v="7"/>
  </r>
  <r>
    <s v="ORD-1093"/>
    <x v="91"/>
    <x v="5"/>
    <x v="2"/>
    <x v="16"/>
    <n v="1"/>
    <n v="39000"/>
    <x v="110"/>
    <x v="1"/>
    <x v="2"/>
    <x v="7"/>
  </r>
  <r>
    <s v="ORD-1171"/>
    <x v="92"/>
    <x v="5"/>
    <x v="1"/>
    <x v="19"/>
    <n v="23"/>
    <n v="53000"/>
    <x v="111"/>
    <x v="2"/>
    <x v="2"/>
    <x v="7"/>
  </r>
  <r>
    <s v="ORD-1148"/>
    <x v="93"/>
    <x v="10"/>
    <x v="2"/>
    <x v="4"/>
    <n v="10"/>
    <n v="116000"/>
    <x v="112"/>
    <x v="0"/>
    <x v="1"/>
    <x v="7"/>
  </r>
  <r>
    <s v="ORD-1187"/>
    <x v="94"/>
    <x v="2"/>
    <x v="1"/>
    <x v="8"/>
    <n v="22"/>
    <n v="31000"/>
    <x v="113"/>
    <x v="4"/>
    <x v="2"/>
    <x v="7"/>
  </r>
  <r>
    <s v="ORD-1014"/>
    <x v="95"/>
    <x v="9"/>
    <x v="1"/>
    <x v="8"/>
    <n v="25"/>
    <n v="28000"/>
    <x v="114"/>
    <x v="0"/>
    <x v="2"/>
    <x v="7"/>
  </r>
  <r>
    <s v="ORD-1120"/>
    <x v="95"/>
    <x v="6"/>
    <x v="0"/>
    <x v="2"/>
    <n v="11"/>
    <n v="52000"/>
    <x v="115"/>
    <x v="2"/>
    <x v="2"/>
    <x v="7"/>
  </r>
  <r>
    <s v="ORD-1100"/>
    <x v="96"/>
    <x v="0"/>
    <x v="4"/>
    <x v="21"/>
    <n v="16"/>
    <n v="105000"/>
    <x v="116"/>
    <x v="0"/>
    <x v="0"/>
    <x v="7"/>
  </r>
  <r>
    <s v="ORD-1205"/>
    <x v="97"/>
    <x v="0"/>
    <x v="4"/>
    <x v="23"/>
    <n v="24"/>
    <n v="120000"/>
    <x v="117"/>
    <x v="0"/>
    <x v="2"/>
    <x v="7"/>
  </r>
  <r>
    <s v="ORD-1132"/>
    <x v="98"/>
    <x v="5"/>
    <x v="1"/>
    <x v="8"/>
    <n v="14"/>
    <n v="105000"/>
    <x v="118"/>
    <x v="3"/>
    <x v="0"/>
    <x v="7"/>
  </r>
  <r>
    <s v="ORD-1149"/>
    <x v="99"/>
    <x v="0"/>
    <x v="0"/>
    <x v="12"/>
    <n v="6"/>
    <n v="37000"/>
    <x v="119"/>
    <x v="4"/>
    <x v="0"/>
    <x v="7"/>
  </r>
  <r>
    <s v="ORD-1099"/>
    <x v="100"/>
    <x v="0"/>
    <x v="2"/>
    <x v="4"/>
    <n v="3"/>
    <n v="111000"/>
    <x v="120"/>
    <x v="1"/>
    <x v="2"/>
    <x v="7"/>
  </r>
  <r>
    <s v="ORD-1064"/>
    <x v="100"/>
    <x v="6"/>
    <x v="2"/>
    <x v="11"/>
    <n v="11"/>
    <n v="61000"/>
    <x v="121"/>
    <x v="1"/>
    <x v="0"/>
    <x v="7"/>
  </r>
  <r>
    <s v="ORD-1077"/>
    <x v="101"/>
    <x v="0"/>
    <x v="3"/>
    <x v="14"/>
    <n v="10"/>
    <n v="215000"/>
    <x v="122"/>
    <x v="2"/>
    <x v="1"/>
    <x v="7"/>
  </r>
  <r>
    <s v="ORD-1121"/>
    <x v="102"/>
    <x v="5"/>
    <x v="3"/>
    <x v="13"/>
    <n v="3"/>
    <n v="145000"/>
    <x v="123"/>
    <x v="2"/>
    <x v="0"/>
    <x v="7"/>
  </r>
  <r>
    <s v="ORD-1140"/>
    <x v="103"/>
    <x v="2"/>
    <x v="4"/>
    <x v="23"/>
    <n v="15"/>
    <n v="132000"/>
    <x v="124"/>
    <x v="2"/>
    <x v="0"/>
    <x v="8"/>
  </r>
  <r>
    <s v="ORD-1105"/>
    <x v="104"/>
    <x v="0"/>
    <x v="1"/>
    <x v="3"/>
    <n v="15"/>
    <n v="111000"/>
    <x v="125"/>
    <x v="1"/>
    <x v="1"/>
    <x v="8"/>
  </r>
  <r>
    <s v="ORD-1150"/>
    <x v="104"/>
    <x v="4"/>
    <x v="2"/>
    <x v="22"/>
    <n v="23"/>
    <n v="127000"/>
    <x v="126"/>
    <x v="2"/>
    <x v="0"/>
    <x v="8"/>
  </r>
  <r>
    <s v="ORD-1095"/>
    <x v="105"/>
    <x v="2"/>
    <x v="3"/>
    <x v="6"/>
    <n v="3"/>
    <n v="95000"/>
    <x v="127"/>
    <x v="3"/>
    <x v="2"/>
    <x v="8"/>
  </r>
  <r>
    <s v="ORD-1026"/>
    <x v="105"/>
    <x v="3"/>
    <x v="4"/>
    <x v="15"/>
    <n v="7"/>
    <n v="60000"/>
    <x v="128"/>
    <x v="3"/>
    <x v="0"/>
    <x v="8"/>
  </r>
  <r>
    <s v="ORD-1110"/>
    <x v="106"/>
    <x v="1"/>
    <x v="0"/>
    <x v="18"/>
    <n v="2"/>
    <n v="76000"/>
    <x v="129"/>
    <x v="2"/>
    <x v="2"/>
    <x v="8"/>
  </r>
  <r>
    <s v="ORD-1027"/>
    <x v="107"/>
    <x v="2"/>
    <x v="4"/>
    <x v="23"/>
    <n v="17"/>
    <n v="92000"/>
    <x v="130"/>
    <x v="2"/>
    <x v="0"/>
    <x v="8"/>
  </r>
  <r>
    <s v="ORD-1184"/>
    <x v="108"/>
    <x v="8"/>
    <x v="4"/>
    <x v="7"/>
    <n v="19"/>
    <n v="57000"/>
    <x v="131"/>
    <x v="0"/>
    <x v="2"/>
    <x v="8"/>
  </r>
  <r>
    <s v="ORD-1172"/>
    <x v="109"/>
    <x v="7"/>
    <x v="3"/>
    <x v="14"/>
    <n v="5"/>
    <n v="95000"/>
    <x v="132"/>
    <x v="0"/>
    <x v="0"/>
    <x v="8"/>
  </r>
  <r>
    <s v="ORD-1040"/>
    <x v="109"/>
    <x v="6"/>
    <x v="2"/>
    <x v="11"/>
    <n v="1"/>
    <n v="63000"/>
    <x v="133"/>
    <x v="3"/>
    <x v="0"/>
    <x v="8"/>
  </r>
  <r>
    <s v="ORD-1213"/>
    <x v="110"/>
    <x v="8"/>
    <x v="3"/>
    <x v="9"/>
    <n v="5"/>
    <n v="166000"/>
    <x v="134"/>
    <x v="0"/>
    <x v="0"/>
    <x v="8"/>
  </r>
  <r>
    <s v="ORD-1151"/>
    <x v="111"/>
    <x v="3"/>
    <x v="0"/>
    <x v="2"/>
    <n v="8"/>
    <n v="23000"/>
    <x v="135"/>
    <x v="3"/>
    <x v="0"/>
    <x v="8"/>
  </r>
  <r>
    <s v="ORD-1134"/>
    <x v="112"/>
    <x v="5"/>
    <x v="0"/>
    <x v="18"/>
    <n v="24"/>
    <n v="41000"/>
    <x v="136"/>
    <x v="0"/>
    <x v="2"/>
    <x v="8"/>
  </r>
  <r>
    <s v="ORD-1135"/>
    <x v="113"/>
    <x v="2"/>
    <x v="4"/>
    <x v="15"/>
    <n v="12"/>
    <n v="82000"/>
    <x v="136"/>
    <x v="4"/>
    <x v="0"/>
    <x v="8"/>
  </r>
  <r>
    <s v="ORD-1017"/>
    <x v="114"/>
    <x v="3"/>
    <x v="4"/>
    <x v="21"/>
    <n v="18"/>
    <n v="112000"/>
    <x v="137"/>
    <x v="0"/>
    <x v="2"/>
    <x v="8"/>
  </r>
  <r>
    <s v="ORD-1212"/>
    <x v="115"/>
    <x v="3"/>
    <x v="4"/>
    <x v="15"/>
    <n v="17"/>
    <n v="74000"/>
    <x v="51"/>
    <x v="0"/>
    <x v="0"/>
    <x v="9"/>
  </r>
  <r>
    <s v="ORD-1217"/>
    <x v="116"/>
    <x v="6"/>
    <x v="2"/>
    <x v="4"/>
    <n v="24"/>
    <n v="68000"/>
    <x v="138"/>
    <x v="1"/>
    <x v="2"/>
    <x v="9"/>
  </r>
  <r>
    <s v="ORD-1109"/>
    <x v="116"/>
    <x v="3"/>
    <x v="0"/>
    <x v="12"/>
    <n v="12"/>
    <n v="39000"/>
    <x v="139"/>
    <x v="1"/>
    <x v="2"/>
    <x v="9"/>
  </r>
  <r>
    <s v="ORD-1114"/>
    <x v="117"/>
    <x v="0"/>
    <x v="4"/>
    <x v="23"/>
    <n v="22"/>
    <n v="78000"/>
    <x v="140"/>
    <x v="2"/>
    <x v="0"/>
    <x v="9"/>
  </r>
  <r>
    <s v="ORD-1146"/>
    <x v="117"/>
    <x v="2"/>
    <x v="3"/>
    <x v="5"/>
    <n v="11"/>
    <n v="231000"/>
    <x v="141"/>
    <x v="2"/>
    <x v="0"/>
    <x v="9"/>
  </r>
  <r>
    <s v="ORD-1024"/>
    <x v="117"/>
    <x v="9"/>
    <x v="3"/>
    <x v="14"/>
    <n v="6"/>
    <n v="139000"/>
    <x v="142"/>
    <x v="1"/>
    <x v="1"/>
    <x v="9"/>
  </r>
  <r>
    <s v="ORD-1218"/>
    <x v="118"/>
    <x v="6"/>
    <x v="2"/>
    <x v="16"/>
    <n v="8"/>
    <n v="65000"/>
    <x v="87"/>
    <x v="2"/>
    <x v="1"/>
    <x v="9"/>
  </r>
  <r>
    <s v="ORD-1050"/>
    <x v="119"/>
    <x v="8"/>
    <x v="4"/>
    <x v="21"/>
    <n v="15"/>
    <n v="108000"/>
    <x v="143"/>
    <x v="0"/>
    <x v="0"/>
    <x v="9"/>
  </r>
  <r>
    <s v="ORD-1201"/>
    <x v="120"/>
    <x v="3"/>
    <x v="0"/>
    <x v="12"/>
    <n v="16"/>
    <n v="56000"/>
    <x v="144"/>
    <x v="4"/>
    <x v="2"/>
    <x v="9"/>
  </r>
  <r>
    <s v="ORD-1086"/>
    <x v="120"/>
    <x v="3"/>
    <x v="1"/>
    <x v="1"/>
    <n v="23"/>
    <n v="18000"/>
    <x v="145"/>
    <x v="2"/>
    <x v="0"/>
    <x v="9"/>
  </r>
  <r>
    <s v="ORD-1175"/>
    <x v="121"/>
    <x v="1"/>
    <x v="4"/>
    <x v="7"/>
    <n v="14"/>
    <n v="59000"/>
    <x v="146"/>
    <x v="4"/>
    <x v="0"/>
    <x v="9"/>
  </r>
  <r>
    <s v="ORD-1173"/>
    <x v="121"/>
    <x v="3"/>
    <x v="2"/>
    <x v="22"/>
    <n v="3"/>
    <n v="97000"/>
    <x v="147"/>
    <x v="1"/>
    <x v="2"/>
    <x v="9"/>
  </r>
  <r>
    <s v="ORD-1113"/>
    <x v="122"/>
    <x v="7"/>
    <x v="2"/>
    <x v="4"/>
    <n v="8"/>
    <n v="65000"/>
    <x v="87"/>
    <x v="2"/>
    <x v="1"/>
    <x v="9"/>
  </r>
  <r>
    <s v="ORD-1013"/>
    <x v="122"/>
    <x v="9"/>
    <x v="3"/>
    <x v="5"/>
    <n v="18"/>
    <n v="227000"/>
    <x v="148"/>
    <x v="4"/>
    <x v="0"/>
    <x v="9"/>
  </r>
  <r>
    <s v="ORD-1124"/>
    <x v="123"/>
    <x v="4"/>
    <x v="3"/>
    <x v="10"/>
    <n v="19"/>
    <n v="92000"/>
    <x v="149"/>
    <x v="0"/>
    <x v="1"/>
    <x v="9"/>
  </r>
  <r>
    <s v="ORD-1106"/>
    <x v="124"/>
    <x v="4"/>
    <x v="3"/>
    <x v="9"/>
    <n v="1"/>
    <n v="102000"/>
    <x v="150"/>
    <x v="4"/>
    <x v="0"/>
    <x v="9"/>
  </r>
  <r>
    <s v="ORD-1011"/>
    <x v="125"/>
    <x v="2"/>
    <x v="1"/>
    <x v="8"/>
    <n v="14"/>
    <n v="61000"/>
    <x v="151"/>
    <x v="0"/>
    <x v="0"/>
    <x v="9"/>
  </r>
  <r>
    <s v="ORD-1126"/>
    <x v="126"/>
    <x v="6"/>
    <x v="3"/>
    <x v="14"/>
    <n v="24"/>
    <n v="197000"/>
    <x v="152"/>
    <x v="1"/>
    <x v="0"/>
    <x v="9"/>
  </r>
  <r>
    <s v="ORD-1137"/>
    <x v="126"/>
    <x v="1"/>
    <x v="1"/>
    <x v="19"/>
    <n v="5"/>
    <n v="75000"/>
    <x v="153"/>
    <x v="4"/>
    <x v="2"/>
    <x v="9"/>
  </r>
  <r>
    <s v="ORD-1028"/>
    <x v="127"/>
    <x v="7"/>
    <x v="2"/>
    <x v="22"/>
    <n v="20"/>
    <n v="102000"/>
    <x v="154"/>
    <x v="0"/>
    <x v="0"/>
    <x v="9"/>
  </r>
  <r>
    <s v="ORD-1174"/>
    <x v="128"/>
    <x v="5"/>
    <x v="4"/>
    <x v="15"/>
    <n v="21"/>
    <n v="160000"/>
    <x v="155"/>
    <x v="2"/>
    <x v="2"/>
    <x v="9"/>
  </r>
  <r>
    <s v="ORD-1045"/>
    <x v="129"/>
    <x v="1"/>
    <x v="1"/>
    <x v="1"/>
    <n v="15"/>
    <n v="80000"/>
    <x v="156"/>
    <x v="2"/>
    <x v="2"/>
    <x v="9"/>
  </r>
  <r>
    <s v="ORD-1068"/>
    <x v="130"/>
    <x v="4"/>
    <x v="0"/>
    <x v="18"/>
    <n v="14"/>
    <n v="78000"/>
    <x v="157"/>
    <x v="4"/>
    <x v="0"/>
    <x v="9"/>
  </r>
  <r>
    <s v="ORD-1122"/>
    <x v="131"/>
    <x v="2"/>
    <x v="2"/>
    <x v="11"/>
    <n v="22"/>
    <n v="141000"/>
    <x v="158"/>
    <x v="3"/>
    <x v="1"/>
    <x v="9"/>
  </r>
  <r>
    <s v="ORD-1070"/>
    <x v="132"/>
    <x v="2"/>
    <x v="2"/>
    <x v="11"/>
    <n v="4"/>
    <n v="76000"/>
    <x v="159"/>
    <x v="2"/>
    <x v="0"/>
    <x v="9"/>
  </r>
  <r>
    <s v="ORD-1138"/>
    <x v="133"/>
    <x v="9"/>
    <x v="1"/>
    <x v="8"/>
    <n v="3"/>
    <n v="72000"/>
    <x v="160"/>
    <x v="4"/>
    <x v="2"/>
    <x v="9"/>
  </r>
  <r>
    <s v="ORD-1066"/>
    <x v="134"/>
    <x v="0"/>
    <x v="2"/>
    <x v="22"/>
    <n v="17"/>
    <n v="92000"/>
    <x v="130"/>
    <x v="0"/>
    <x v="2"/>
    <x v="10"/>
  </r>
  <r>
    <s v="ORD-1089"/>
    <x v="135"/>
    <x v="2"/>
    <x v="4"/>
    <x v="23"/>
    <n v="9"/>
    <n v="151000"/>
    <x v="161"/>
    <x v="3"/>
    <x v="0"/>
    <x v="10"/>
  </r>
  <r>
    <s v="ORD-1123"/>
    <x v="136"/>
    <x v="0"/>
    <x v="1"/>
    <x v="3"/>
    <n v="19"/>
    <n v="34000"/>
    <x v="162"/>
    <x v="3"/>
    <x v="0"/>
    <x v="10"/>
  </r>
  <r>
    <s v="ORD-1136"/>
    <x v="137"/>
    <x v="3"/>
    <x v="3"/>
    <x v="14"/>
    <n v="25"/>
    <n v="195000"/>
    <x v="163"/>
    <x v="0"/>
    <x v="0"/>
    <x v="10"/>
  </r>
  <r>
    <s v="ORD-1005"/>
    <x v="138"/>
    <x v="0"/>
    <x v="3"/>
    <x v="5"/>
    <n v="15"/>
    <n v="172000"/>
    <x v="164"/>
    <x v="4"/>
    <x v="2"/>
    <x v="10"/>
  </r>
  <r>
    <s v="ORD-1210"/>
    <x v="139"/>
    <x v="4"/>
    <x v="0"/>
    <x v="12"/>
    <n v="25"/>
    <n v="51000"/>
    <x v="165"/>
    <x v="0"/>
    <x v="2"/>
    <x v="10"/>
  </r>
  <r>
    <s v="ORD-1177"/>
    <x v="140"/>
    <x v="2"/>
    <x v="3"/>
    <x v="6"/>
    <n v="21"/>
    <n v="78000"/>
    <x v="68"/>
    <x v="0"/>
    <x v="0"/>
    <x v="10"/>
  </r>
  <r>
    <s v="ORD-1006"/>
    <x v="141"/>
    <x v="4"/>
    <x v="2"/>
    <x v="4"/>
    <n v="23"/>
    <n v="128000"/>
    <x v="166"/>
    <x v="4"/>
    <x v="1"/>
    <x v="10"/>
  </r>
  <r>
    <s v="ORD-1098"/>
    <x v="142"/>
    <x v="7"/>
    <x v="0"/>
    <x v="0"/>
    <n v="8"/>
    <n v="52000"/>
    <x v="167"/>
    <x v="3"/>
    <x v="2"/>
    <x v="10"/>
  </r>
  <r>
    <s v="ORD-1078"/>
    <x v="143"/>
    <x v="1"/>
    <x v="4"/>
    <x v="21"/>
    <n v="4"/>
    <n v="102000"/>
    <x v="168"/>
    <x v="4"/>
    <x v="2"/>
    <x v="10"/>
  </r>
  <r>
    <s v="ORD-1061"/>
    <x v="144"/>
    <x v="7"/>
    <x v="3"/>
    <x v="5"/>
    <n v="25"/>
    <n v="112000"/>
    <x v="169"/>
    <x v="3"/>
    <x v="0"/>
    <x v="10"/>
  </r>
  <r>
    <s v="ORD-1103"/>
    <x v="144"/>
    <x v="9"/>
    <x v="1"/>
    <x v="1"/>
    <n v="2"/>
    <n v="108000"/>
    <x v="160"/>
    <x v="4"/>
    <x v="0"/>
    <x v="10"/>
  </r>
  <r>
    <s v="ORD-1063"/>
    <x v="145"/>
    <x v="8"/>
    <x v="4"/>
    <x v="21"/>
    <n v="6"/>
    <n v="178000"/>
    <x v="170"/>
    <x v="0"/>
    <x v="2"/>
    <x v="10"/>
  </r>
  <r>
    <s v="ORD-1166"/>
    <x v="146"/>
    <x v="6"/>
    <x v="1"/>
    <x v="8"/>
    <n v="24"/>
    <n v="18000"/>
    <x v="171"/>
    <x v="0"/>
    <x v="2"/>
    <x v="10"/>
  </r>
  <r>
    <s v="ORD-1107"/>
    <x v="146"/>
    <x v="4"/>
    <x v="3"/>
    <x v="5"/>
    <n v="8"/>
    <n v="155000"/>
    <x v="172"/>
    <x v="0"/>
    <x v="0"/>
    <x v="10"/>
  </r>
  <r>
    <s v="ORD-1009"/>
    <x v="147"/>
    <x v="2"/>
    <x v="4"/>
    <x v="15"/>
    <n v="25"/>
    <n v="59000"/>
    <x v="173"/>
    <x v="4"/>
    <x v="0"/>
    <x v="10"/>
  </r>
  <r>
    <s v="ORD-1001"/>
    <x v="147"/>
    <x v="5"/>
    <x v="3"/>
    <x v="5"/>
    <n v="9"/>
    <n v="97000"/>
    <x v="174"/>
    <x v="0"/>
    <x v="0"/>
    <x v="10"/>
  </r>
  <r>
    <s v="ORD-1179"/>
    <x v="147"/>
    <x v="9"/>
    <x v="0"/>
    <x v="18"/>
    <n v="21"/>
    <n v="71000"/>
    <x v="175"/>
    <x v="1"/>
    <x v="0"/>
    <x v="10"/>
  </r>
  <r>
    <s v="ORD-1117"/>
    <x v="148"/>
    <x v="9"/>
    <x v="3"/>
    <x v="9"/>
    <n v="13"/>
    <n v="144000"/>
    <x v="176"/>
    <x v="3"/>
    <x v="0"/>
    <x v="10"/>
  </r>
  <r>
    <s v="ORD-1216"/>
    <x v="149"/>
    <x v="6"/>
    <x v="1"/>
    <x v="1"/>
    <n v="15"/>
    <n v="25000"/>
    <x v="153"/>
    <x v="4"/>
    <x v="0"/>
    <x v="10"/>
  </r>
  <r>
    <s v="ORD-1169"/>
    <x v="150"/>
    <x v="0"/>
    <x v="4"/>
    <x v="23"/>
    <n v="1"/>
    <n v="92000"/>
    <x v="177"/>
    <x v="0"/>
    <x v="0"/>
    <x v="10"/>
  </r>
  <r>
    <s v="ORD-1082"/>
    <x v="151"/>
    <x v="10"/>
    <x v="1"/>
    <x v="17"/>
    <n v="19"/>
    <n v="26000"/>
    <x v="178"/>
    <x v="1"/>
    <x v="0"/>
    <x v="10"/>
  </r>
  <r>
    <s v="ORD-1208"/>
    <x v="152"/>
    <x v="4"/>
    <x v="4"/>
    <x v="23"/>
    <n v="22"/>
    <n v="164000"/>
    <x v="179"/>
    <x v="0"/>
    <x v="1"/>
    <x v="11"/>
  </r>
  <r>
    <s v="ORD-1185"/>
    <x v="152"/>
    <x v="8"/>
    <x v="1"/>
    <x v="8"/>
    <n v="1"/>
    <n v="32000"/>
    <x v="180"/>
    <x v="4"/>
    <x v="2"/>
    <x v="11"/>
  </r>
  <r>
    <s v="ORD-1192"/>
    <x v="153"/>
    <x v="1"/>
    <x v="2"/>
    <x v="4"/>
    <n v="24"/>
    <n v="110000"/>
    <x v="181"/>
    <x v="0"/>
    <x v="2"/>
    <x v="11"/>
  </r>
  <r>
    <s v="ORD-1048"/>
    <x v="153"/>
    <x v="9"/>
    <x v="3"/>
    <x v="9"/>
    <n v="8"/>
    <n v="80000"/>
    <x v="182"/>
    <x v="2"/>
    <x v="1"/>
    <x v="11"/>
  </r>
  <r>
    <s v="ORD-1159"/>
    <x v="154"/>
    <x v="5"/>
    <x v="2"/>
    <x v="11"/>
    <n v="5"/>
    <n v="134000"/>
    <x v="183"/>
    <x v="2"/>
    <x v="2"/>
    <x v="11"/>
  </r>
  <r>
    <s v="ORD-1032"/>
    <x v="155"/>
    <x v="5"/>
    <x v="4"/>
    <x v="15"/>
    <n v="4"/>
    <n v="84000"/>
    <x v="23"/>
    <x v="2"/>
    <x v="2"/>
    <x v="11"/>
  </r>
  <r>
    <s v="ORD-1195"/>
    <x v="155"/>
    <x v="8"/>
    <x v="2"/>
    <x v="16"/>
    <n v="11"/>
    <n v="99000"/>
    <x v="184"/>
    <x v="4"/>
    <x v="2"/>
    <x v="11"/>
  </r>
  <r>
    <s v="ORD-1044"/>
    <x v="156"/>
    <x v="6"/>
    <x v="4"/>
    <x v="20"/>
    <n v="19"/>
    <n v="148000"/>
    <x v="185"/>
    <x v="4"/>
    <x v="0"/>
    <x v="11"/>
  </r>
  <r>
    <s v="ORD-1065"/>
    <x v="157"/>
    <x v="6"/>
    <x v="1"/>
    <x v="3"/>
    <n v="16"/>
    <n v="77000"/>
    <x v="186"/>
    <x v="4"/>
    <x v="0"/>
    <x v="11"/>
  </r>
  <r>
    <s v="ORD-1083"/>
    <x v="158"/>
    <x v="5"/>
    <x v="4"/>
    <x v="15"/>
    <n v="14"/>
    <n v="171000"/>
    <x v="187"/>
    <x v="0"/>
    <x v="0"/>
    <x v="11"/>
  </r>
  <r>
    <s v="ORD-1168"/>
    <x v="159"/>
    <x v="8"/>
    <x v="1"/>
    <x v="19"/>
    <n v="15"/>
    <n v="88000"/>
    <x v="12"/>
    <x v="4"/>
    <x v="0"/>
    <x v="11"/>
  </r>
  <r>
    <s v="ORD-1196"/>
    <x v="160"/>
    <x v="0"/>
    <x v="2"/>
    <x v="16"/>
    <n v="7"/>
    <n v="58000"/>
    <x v="188"/>
    <x v="4"/>
    <x v="2"/>
    <x v="11"/>
  </r>
  <r>
    <s v="ORD-1160"/>
    <x v="161"/>
    <x v="8"/>
    <x v="0"/>
    <x v="0"/>
    <n v="5"/>
    <n v="57000"/>
    <x v="127"/>
    <x v="3"/>
    <x v="2"/>
    <x v="11"/>
  </r>
  <r>
    <s v="ORD-1067"/>
    <x v="162"/>
    <x v="8"/>
    <x v="0"/>
    <x v="12"/>
    <n v="1"/>
    <n v="71000"/>
    <x v="189"/>
    <x v="2"/>
    <x v="0"/>
    <x v="11"/>
  </r>
  <r>
    <s v="ORD-1035"/>
    <x v="162"/>
    <x v="3"/>
    <x v="2"/>
    <x v="22"/>
    <n v="12"/>
    <n v="35000"/>
    <x v="128"/>
    <x v="4"/>
    <x v="0"/>
    <x v="11"/>
  </r>
  <r>
    <s v="ORD-1018"/>
    <x v="162"/>
    <x v="7"/>
    <x v="1"/>
    <x v="1"/>
    <n v="22"/>
    <n v="71000"/>
    <x v="190"/>
    <x v="3"/>
    <x v="0"/>
    <x v="11"/>
  </r>
  <r>
    <s v="ORD-1147"/>
    <x v="163"/>
    <x v="1"/>
    <x v="4"/>
    <x v="21"/>
    <n v="2"/>
    <n v="138000"/>
    <x v="35"/>
    <x v="0"/>
    <x v="0"/>
    <x v="11"/>
  </r>
  <r>
    <s v="ORD-1125"/>
    <x v="164"/>
    <x v="0"/>
    <x v="3"/>
    <x v="14"/>
    <n v="9"/>
    <n v="214000"/>
    <x v="191"/>
    <x v="2"/>
    <x v="2"/>
    <x v="11"/>
  </r>
  <r>
    <s v="ORD-1101"/>
    <x v="165"/>
    <x v="0"/>
    <x v="3"/>
    <x v="5"/>
    <n v="13"/>
    <n v="105000"/>
    <x v="192"/>
    <x v="0"/>
    <x v="2"/>
    <x v="11"/>
  </r>
  <r>
    <s v="ORD-1008"/>
    <x v="166"/>
    <x v="5"/>
    <x v="2"/>
    <x v="4"/>
    <n v="18"/>
    <n v="78000"/>
    <x v="193"/>
    <x v="4"/>
    <x v="1"/>
    <x v="11"/>
  </r>
  <r>
    <s v="ORD-1003"/>
    <x v="166"/>
    <x v="2"/>
    <x v="0"/>
    <x v="0"/>
    <n v="15"/>
    <n v="20000"/>
    <x v="15"/>
    <x v="2"/>
    <x v="2"/>
    <x v="11"/>
  </r>
  <r>
    <s v="ORD-1096"/>
    <x v="167"/>
    <x v="5"/>
    <x v="0"/>
    <x v="0"/>
    <n v="23"/>
    <n v="61000"/>
    <x v="78"/>
    <x v="3"/>
    <x v="0"/>
    <x v="11"/>
  </r>
  <r>
    <s v="ORD-1209"/>
    <x v="167"/>
    <x v="0"/>
    <x v="3"/>
    <x v="5"/>
    <n v="10"/>
    <n v="129000"/>
    <x v="194"/>
    <x v="5"/>
    <x v="0"/>
    <x v="11"/>
  </r>
  <r>
    <s v="ORD-1197"/>
    <x v="167"/>
    <x v="7"/>
    <x v="0"/>
    <x v="18"/>
    <n v="16"/>
    <n v="35000"/>
    <x v="195"/>
    <x v="0"/>
    <x v="0"/>
    <x v="11"/>
  </r>
  <r>
    <s v="ORD-1071"/>
    <x v="168"/>
    <x v="2"/>
    <x v="4"/>
    <x v="15"/>
    <n v="2"/>
    <n v="119000"/>
    <x v="196"/>
    <x v="1"/>
    <x v="0"/>
    <x v="11"/>
  </r>
  <r>
    <s v="ORD-1141"/>
    <x v="168"/>
    <x v="8"/>
    <x v="0"/>
    <x v="0"/>
    <n v="12"/>
    <n v="72000"/>
    <x v="30"/>
    <x v="4"/>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306D0D-2709-427A-B1D0-5B6BA46FD760}" name="5_Produk_Terendah"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Nama Produk">
  <location ref="M73:Q79" firstHeaderRow="0" firstDataRow="1" firstDataCol="1"/>
  <pivotFields count="12">
    <pivotField showAll="0"/>
    <pivotField numFmtId="165" showAll="0"/>
    <pivotField showAll="0">
      <items count="12">
        <item x="3"/>
        <item x="8"/>
        <item x="9"/>
        <item x="4"/>
        <item x="2"/>
        <item x="7"/>
        <item x="10"/>
        <item x="6"/>
        <item x="0"/>
        <item x="5"/>
        <item x="1"/>
        <item t="default"/>
      </items>
    </pivotField>
    <pivotField axis="axisRow" showAll="0">
      <items count="6">
        <item x="3"/>
        <item x="4"/>
        <item x="0"/>
        <item x="2"/>
        <item x="1"/>
        <item t="default"/>
      </items>
    </pivotField>
    <pivotField axis="axisRow" showAll="0" measureFilter="1" sortType="descending">
      <items count="25">
        <item sd="0" x="3"/>
        <item sd="0" x="4"/>
        <item sd="0" x="21"/>
        <item sd="0" x="6"/>
        <item sd="0" x="10"/>
        <item sd="0" x="15"/>
        <item sd="0" x="13"/>
        <item sd="0" x="23"/>
        <item sd="0" x="7"/>
        <item sd="0" x="8"/>
        <item sd="0" x="12"/>
        <item sd="0" x="0"/>
        <item sd="0" x="22"/>
        <item sd="0" x="5"/>
        <item sd="0" x="14"/>
        <item sd="0" x="17"/>
        <item sd="0" x="11"/>
        <item sd="0" x="2"/>
        <item sd="0" x="19"/>
        <item sd="0" x="18"/>
        <item sd="0" x="9"/>
        <item sd="0" x="16"/>
        <item sd="0" x="20"/>
        <item sd="0" x="1"/>
        <item t="default" sd="0"/>
      </items>
      <autoSortScope>
        <pivotArea dataOnly="0" outline="0" fieldPosition="0">
          <references count="1">
            <reference field="4294967294" count="1" selected="0">
              <x v="0"/>
            </reference>
          </references>
        </pivotArea>
      </autoSortScope>
    </pivotField>
    <pivotField dataField="1" showAll="0"/>
    <pivotField numFmtId="164" showAll="0"/>
    <pivotField dataField="1" numFmtId="164" showAll="0"/>
    <pivotField showAll="0">
      <items count="7">
        <item x="4"/>
        <item x="2"/>
        <item x="1"/>
        <item x="5"/>
        <item x="0"/>
        <item x="3"/>
        <item t="default"/>
      </items>
    </pivotField>
    <pivotField showAll="0">
      <items count="4">
        <item x="1"/>
        <item x="2"/>
        <item x="0"/>
        <item t="default"/>
      </items>
    </pivotField>
    <pivotField showAll="0">
      <items count="25">
        <item m="1" x="16"/>
        <item m="1" x="13"/>
        <item m="1" x="17"/>
        <item m="1" x="22"/>
        <item m="1" x="12"/>
        <item m="1" x="14"/>
        <item m="1" x="15"/>
        <item m="1" x="18"/>
        <item m="1" x="19"/>
        <item m="1" x="20"/>
        <item m="1" x="21"/>
        <item m="1" x="23"/>
        <item x="0"/>
        <item x="1"/>
        <item x="2"/>
        <item x="3"/>
        <item x="4"/>
        <item x="5"/>
        <item x="6"/>
        <item x="7"/>
        <item x="8"/>
        <item x="9"/>
        <item x="10"/>
        <item x="11"/>
        <item t="default"/>
      </items>
    </pivotField>
    <pivotField showAll="0" defaultSubtotal="0"/>
  </pivotFields>
  <rowFields count="2">
    <field x="4"/>
    <field x="3"/>
  </rowFields>
  <rowItems count="6">
    <i>
      <x v="9"/>
    </i>
    <i>
      <x v="4"/>
    </i>
    <i>
      <x v="15"/>
    </i>
    <i>
      <x v="6"/>
    </i>
    <i>
      <x v="18"/>
    </i>
    <i t="grand">
      <x/>
    </i>
  </rowItems>
  <colFields count="1">
    <field x="-2"/>
  </colFields>
  <colItems count="4">
    <i>
      <x/>
    </i>
    <i i="1">
      <x v="1"/>
    </i>
    <i i="2">
      <x v="2"/>
    </i>
    <i i="3">
      <x v="3"/>
    </i>
  </colItems>
  <dataFields count="4">
    <dataField name="Total Penjualan" fld="7" baseField="0" baseItem="0" numFmtId="164"/>
    <dataField name="Kontribusi" fld="7" showDataAs="percentOfTotal" baseField="0" baseItem="0" numFmtId="10"/>
    <dataField name="Jumlah terjual" fld="5" baseField="0" baseItem="0"/>
    <dataField name="Jumlah Transaksi" fld="5" subtotal="count" baseField="4" baseItem="0"/>
  </dataFields>
  <formats count="12">
    <format dxfId="4023">
      <pivotArea type="all" dataOnly="0" outline="0" fieldPosition="0"/>
    </format>
    <format dxfId="4022">
      <pivotArea outline="0" collapsedLevelsAreSubtotals="1" fieldPosition="0"/>
    </format>
    <format dxfId="4021">
      <pivotArea field="4" type="button" dataOnly="0" labelOnly="1" outline="0" axis="axisRow" fieldPosition="0"/>
    </format>
    <format dxfId="4020">
      <pivotArea dataOnly="0" labelOnly="1" fieldPosition="0">
        <references count="1">
          <reference field="4" count="5">
            <x v="4"/>
            <x v="6"/>
            <x v="9"/>
            <x v="15"/>
            <x v="18"/>
          </reference>
        </references>
      </pivotArea>
    </format>
    <format dxfId="4019">
      <pivotArea dataOnly="0" labelOnly="1" grandRow="1" outline="0" fieldPosition="0"/>
    </format>
    <format dxfId="4018">
      <pivotArea dataOnly="0" labelOnly="1" outline="0" fieldPosition="0">
        <references count="1">
          <reference field="4294967294" count="4">
            <x v="0"/>
            <x v="1"/>
            <x v="2"/>
            <x v="3"/>
          </reference>
        </references>
      </pivotArea>
    </format>
    <format dxfId="4017">
      <pivotArea type="all" dataOnly="0" outline="0" fieldPosition="0"/>
    </format>
    <format dxfId="4016">
      <pivotArea outline="0" collapsedLevelsAreSubtotals="1" fieldPosition="0"/>
    </format>
    <format dxfId="4015">
      <pivotArea field="4" type="button" dataOnly="0" labelOnly="1" outline="0" axis="axisRow" fieldPosition="0"/>
    </format>
    <format dxfId="4014">
      <pivotArea dataOnly="0" labelOnly="1" fieldPosition="0">
        <references count="1">
          <reference field="4" count="5">
            <x v="4"/>
            <x v="6"/>
            <x v="9"/>
            <x v="15"/>
            <x v="18"/>
          </reference>
        </references>
      </pivotArea>
    </format>
    <format dxfId="4013">
      <pivotArea dataOnly="0" labelOnly="1" grandRow="1" outline="0" fieldPosition="0"/>
    </format>
    <format dxfId="4012">
      <pivotArea dataOnly="0" labelOnly="1" outline="0" fieldPosition="0">
        <references count="1">
          <reference field="4294967294" count="4">
            <x v="0"/>
            <x v="1"/>
            <x v="2"/>
            <x v="3"/>
          </reference>
        </references>
      </pivotArea>
    </format>
  </formats>
  <chartFormats count="15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9"/>
          </reference>
        </references>
      </pivotArea>
    </chartFormat>
    <chartFormat chart="3" format="6">
      <pivotArea type="data" outline="0" fieldPosition="0">
        <references count="2">
          <reference field="4294967294" count="1" selected="0">
            <x v="0"/>
          </reference>
          <reference field="4" count="1" selected="0">
            <x v="4"/>
          </reference>
        </references>
      </pivotArea>
    </chartFormat>
    <chartFormat chart="3" format="7">
      <pivotArea type="data" outline="0" fieldPosition="0">
        <references count="2">
          <reference field="4294967294" count="1" selected="0">
            <x v="0"/>
          </reference>
          <reference field="4" count="1" selected="0">
            <x v="15"/>
          </reference>
        </references>
      </pivotArea>
    </chartFormat>
    <chartFormat chart="3" format="8">
      <pivotArea type="data" outline="0" fieldPosition="0">
        <references count="2">
          <reference field="4294967294" count="1" selected="0">
            <x v="0"/>
          </reference>
          <reference field="4" count="1" selected="0">
            <x v="6"/>
          </reference>
        </references>
      </pivotArea>
    </chartFormat>
    <chartFormat chart="3" format="9">
      <pivotArea type="data" outline="0" fieldPosition="0">
        <references count="2">
          <reference field="4294967294" count="1" selected="0">
            <x v="0"/>
          </reference>
          <reference field="4" count="1" selected="0">
            <x v="18"/>
          </reference>
        </references>
      </pivotArea>
    </chartFormat>
    <chartFormat chart="3" format="10" series="1">
      <pivotArea type="data" outline="0" fieldPosition="0">
        <references count="1">
          <reference field="4294967294" count="1" selected="0">
            <x v="1"/>
          </reference>
        </references>
      </pivotArea>
    </chartFormat>
    <chartFormat chart="3" format="11">
      <pivotArea type="data" outline="0" fieldPosition="0">
        <references count="2">
          <reference field="4294967294" count="1" selected="0">
            <x v="1"/>
          </reference>
          <reference field="4" count="1" selected="0">
            <x v="9"/>
          </reference>
        </references>
      </pivotArea>
    </chartFormat>
    <chartFormat chart="3" format="12">
      <pivotArea type="data" outline="0" fieldPosition="0">
        <references count="2">
          <reference field="4294967294" count="1" selected="0">
            <x v="1"/>
          </reference>
          <reference field="4" count="1" selected="0">
            <x v="4"/>
          </reference>
        </references>
      </pivotArea>
    </chartFormat>
    <chartFormat chart="3" format="13">
      <pivotArea type="data" outline="0" fieldPosition="0">
        <references count="2">
          <reference field="4294967294" count="1" selected="0">
            <x v="1"/>
          </reference>
          <reference field="4" count="1" selected="0">
            <x v="15"/>
          </reference>
        </references>
      </pivotArea>
    </chartFormat>
    <chartFormat chart="3" format="14">
      <pivotArea type="data" outline="0" fieldPosition="0">
        <references count="2">
          <reference field="4294967294" count="1" selected="0">
            <x v="1"/>
          </reference>
          <reference field="4" count="1" selected="0">
            <x v="6"/>
          </reference>
        </references>
      </pivotArea>
    </chartFormat>
    <chartFormat chart="3" format="15">
      <pivotArea type="data" outline="0" fieldPosition="0">
        <references count="2">
          <reference field="4294967294" count="1" selected="0">
            <x v="1"/>
          </reference>
          <reference field="4" count="1" selected="0">
            <x v="18"/>
          </reference>
        </references>
      </pivotArea>
    </chartFormat>
    <chartFormat chart="3" format="16" series="1">
      <pivotArea type="data" outline="0" fieldPosition="0">
        <references count="1">
          <reference field="4294967294" count="1" selected="0">
            <x v="2"/>
          </reference>
        </references>
      </pivotArea>
    </chartFormat>
    <chartFormat chart="3" format="17">
      <pivotArea type="data" outline="0" fieldPosition="0">
        <references count="2">
          <reference field="4294967294" count="1" selected="0">
            <x v="2"/>
          </reference>
          <reference field="4" count="1" selected="0">
            <x v="9"/>
          </reference>
        </references>
      </pivotArea>
    </chartFormat>
    <chartFormat chart="3" format="18">
      <pivotArea type="data" outline="0" fieldPosition="0">
        <references count="2">
          <reference field="4294967294" count="1" selected="0">
            <x v="2"/>
          </reference>
          <reference field="4" count="1" selected="0">
            <x v="4"/>
          </reference>
        </references>
      </pivotArea>
    </chartFormat>
    <chartFormat chart="3" format="19">
      <pivotArea type="data" outline="0" fieldPosition="0">
        <references count="2">
          <reference field="4294967294" count="1" selected="0">
            <x v="2"/>
          </reference>
          <reference field="4" count="1" selected="0">
            <x v="15"/>
          </reference>
        </references>
      </pivotArea>
    </chartFormat>
    <chartFormat chart="3" format="20">
      <pivotArea type="data" outline="0" fieldPosition="0">
        <references count="2">
          <reference field="4294967294" count="1" selected="0">
            <x v="2"/>
          </reference>
          <reference field="4" count="1" selected="0">
            <x v="6"/>
          </reference>
        </references>
      </pivotArea>
    </chartFormat>
    <chartFormat chart="3" format="21">
      <pivotArea type="data" outline="0" fieldPosition="0">
        <references count="2">
          <reference field="4294967294" count="1" selected="0">
            <x v="2"/>
          </reference>
          <reference field="4" count="1" selected="0">
            <x v="18"/>
          </reference>
        </references>
      </pivotArea>
    </chartFormat>
    <chartFormat chart="3" format="22" series="1">
      <pivotArea type="data" outline="0" fieldPosition="0">
        <references count="1">
          <reference field="4294967294" count="1" selected="0">
            <x v="3"/>
          </reference>
        </references>
      </pivotArea>
    </chartFormat>
    <chartFormat chart="3" format="23">
      <pivotArea type="data" outline="0" fieldPosition="0">
        <references count="2">
          <reference field="4294967294" count="1" selected="0">
            <x v="3"/>
          </reference>
          <reference field="4" count="1" selected="0">
            <x v="9"/>
          </reference>
        </references>
      </pivotArea>
    </chartFormat>
    <chartFormat chart="3" format="24">
      <pivotArea type="data" outline="0" fieldPosition="0">
        <references count="2">
          <reference field="4294967294" count="1" selected="0">
            <x v="3"/>
          </reference>
          <reference field="4" count="1" selected="0">
            <x v="4"/>
          </reference>
        </references>
      </pivotArea>
    </chartFormat>
    <chartFormat chart="3" format="25">
      <pivotArea type="data" outline="0" fieldPosition="0">
        <references count="2">
          <reference field="4294967294" count="1" selected="0">
            <x v="3"/>
          </reference>
          <reference field="4" count="1" selected="0">
            <x v="15"/>
          </reference>
        </references>
      </pivotArea>
    </chartFormat>
    <chartFormat chart="3" format="26">
      <pivotArea type="data" outline="0" fieldPosition="0">
        <references count="2">
          <reference field="4294967294" count="1" selected="0">
            <x v="3"/>
          </reference>
          <reference field="4" count="1" selected="0">
            <x v="6"/>
          </reference>
        </references>
      </pivotArea>
    </chartFormat>
    <chartFormat chart="3" format="27">
      <pivotArea type="data" outline="0" fieldPosition="0">
        <references count="2">
          <reference field="4294967294" count="1" selected="0">
            <x v="3"/>
          </reference>
          <reference field="4" count="1" selected="0">
            <x v="18"/>
          </reference>
        </references>
      </pivotArea>
    </chartFormat>
    <chartFormat chart="4" format="28" series="1">
      <pivotArea type="data" outline="0" fieldPosition="0">
        <references count="1">
          <reference field="4294967294" count="1" selected="0">
            <x v="0"/>
          </reference>
        </references>
      </pivotArea>
    </chartFormat>
    <chartFormat chart="4" format="29">
      <pivotArea type="data" outline="0" fieldPosition="0">
        <references count="2">
          <reference field="4294967294" count="1" selected="0">
            <x v="0"/>
          </reference>
          <reference field="4" count="1" selected="0">
            <x v="9"/>
          </reference>
        </references>
      </pivotArea>
    </chartFormat>
    <chartFormat chart="4" format="30">
      <pivotArea type="data" outline="0" fieldPosition="0">
        <references count="2">
          <reference field="4294967294" count="1" selected="0">
            <x v="0"/>
          </reference>
          <reference field="4" count="1" selected="0">
            <x v="4"/>
          </reference>
        </references>
      </pivotArea>
    </chartFormat>
    <chartFormat chart="4" format="31">
      <pivotArea type="data" outline="0" fieldPosition="0">
        <references count="2">
          <reference field="4294967294" count="1" selected="0">
            <x v="0"/>
          </reference>
          <reference field="4" count="1" selected="0">
            <x v="15"/>
          </reference>
        </references>
      </pivotArea>
    </chartFormat>
    <chartFormat chart="4" format="32">
      <pivotArea type="data" outline="0" fieldPosition="0">
        <references count="2">
          <reference field="4294967294" count="1" selected="0">
            <x v="0"/>
          </reference>
          <reference field="4" count="1" selected="0">
            <x v="6"/>
          </reference>
        </references>
      </pivotArea>
    </chartFormat>
    <chartFormat chart="4" format="33">
      <pivotArea type="data" outline="0" fieldPosition="0">
        <references count="2">
          <reference field="4294967294" count="1" selected="0">
            <x v="0"/>
          </reference>
          <reference field="4" count="1" selected="0">
            <x v="18"/>
          </reference>
        </references>
      </pivotArea>
    </chartFormat>
    <chartFormat chart="4" format="34" series="1">
      <pivotArea type="data" outline="0" fieldPosition="0">
        <references count="1">
          <reference field="4294967294" count="1" selected="0">
            <x v="1"/>
          </reference>
        </references>
      </pivotArea>
    </chartFormat>
    <chartFormat chart="4" format="35">
      <pivotArea type="data" outline="0" fieldPosition="0">
        <references count="2">
          <reference field="4294967294" count="1" selected="0">
            <x v="1"/>
          </reference>
          <reference field="4" count="1" selected="0">
            <x v="9"/>
          </reference>
        </references>
      </pivotArea>
    </chartFormat>
    <chartFormat chart="4" format="36">
      <pivotArea type="data" outline="0" fieldPosition="0">
        <references count="2">
          <reference field="4294967294" count="1" selected="0">
            <x v="1"/>
          </reference>
          <reference field="4" count="1" selected="0">
            <x v="4"/>
          </reference>
        </references>
      </pivotArea>
    </chartFormat>
    <chartFormat chart="4" format="37">
      <pivotArea type="data" outline="0" fieldPosition="0">
        <references count="2">
          <reference field="4294967294" count="1" selected="0">
            <x v="1"/>
          </reference>
          <reference field="4" count="1" selected="0">
            <x v="15"/>
          </reference>
        </references>
      </pivotArea>
    </chartFormat>
    <chartFormat chart="4" format="38">
      <pivotArea type="data" outline="0" fieldPosition="0">
        <references count="2">
          <reference field="4294967294" count="1" selected="0">
            <x v="1"/>
          </reference>
          <reference field="4" count="1" selected="0">
            <x v="6"/>
          </reference>
        </references>
      </pivotArea>
    </chartFormat>
    <chartFormat chart="4" format="39">
      <pivotArea type="data" outline="0" fieldPosition="0">
        <references count="2">
          <reference field="4294967294" count="1" selected="0">
            <x v="1"/>
          </reference>
          <reference field="4" count="1" selected="0">
            <x v="18"/>
          </reference>
        </references>
      </pivotArea>
    </chartFormat>
    <chartFormat chart="4" format="40" series="1">
      <pivotArea type="data" outline="0" fieldPosition="0">
        <references count="1">
          <reference field="4294967294" count="1" selected="0">
            <x v="2"/>
          </reference>
        </references>
      </pivotArea>
    </chartFormat>
    <chartFormat chart="4" format="41">
      <pivotArea type="data" outline="0" fieldPosition="0">
        <references count="2">
          <reference field="4294967294" count="1" selected="0">
            <x v="2"/>
          </reference>
          <reference field="4" count="1" selected="0">
            <x v="9"/>
          </reference>
        </references>
      </pivotArea>
    </chartFormat>
    <chartFormat chart="4" format="42">
      <pivotArea type="data" outline="0" fieldPosition="0">
        <references count="2">
          <reference field="4294967294" count="1" selected="0">
            <x v="2"/>
          </reference>
          <reference field="4" count="1" selected="0">
            <x v="4"/>
          </reference>
        </references>
      </pivotArea>
    </chartFormat>
    <chartFormat chart="4" format="43">
      <pivotArea type="data" outline="0" fieldPosition="0">
        <references count="2">
          <reference field="4294967294" count="1" selected="0">
            <x v="2"/>
          </reference>
          <reference field="4" count="1" selected="0">
            <x v="15"/>
          </reference>
        </references>
      </pivotArea>
    </chartFormat>
    <chartFormat chart="4" format="44">
      <pivotArea type="data" outline="0" fieldPosition="0">
        <references count="2">
          <reference field="4294967294" count="1" selected="0">
            <x v="2"/>
          </reference>
          <reference field="4" count="1" selected="0">
            <x v="6"/>
          </reference>
        </references>
      </pivotArea>
    </chartFormat>
    <chartFormat chart="4" format="45">
      <pivotArea type="data" outline="0" fieldPosition="0">
        <references count="2">
          <reference field="4294967294" count="1" selected="0">
            <x v="2"/>
          </reference>
          <reference field="4" count="1" selected="0">
            <x v="18"/>
          </reference>
        </references>
      </pivotArea>
    </chartFormat>
    <chartFormat chart="4" format="46" series="1">
      <pivotArea type="data" outline="0" fieldPosition="0">
        <references count="1">
          <reference field="4294967294" count="1" selected="0">
            <x v="3"/>
          </reference>
        </references>
      </pivotArea>
    </chartFormat>
    <chartFormat chart="4" format="47">
      <pivotArea type="data" outline="0" fieldPosition="0">
        <references count="2">
          <reference field="4294967294" count="1" selected="0">
            <x v="3"/>
          </reference>
          <reference field="4" count="1" selected="0">
            <x v="9"/>
          </reference>
        </references>
      </pivotArea>
    </chartFormat>
    <chartFormat chart="4" format="48">
      <pivotArea type="data" outline="0" fieldPosition="0">
        <references count="2">
          <reference field="4294967294" count="1" selected="0">
            <x v="3"/>
          </reference>
          <reference field="4" count="1" selected="0">
            <x v="4"/>
          </reference>
        </references>
      </pivotArea>
    </chartFormat>
    <chartFormat chart="4" format="49">
      <pivotArea type="data" outline="0" fieldPosition="0">
        <references count="2">
          <reference field="4294967294" count="1" selected="0">
            <x v="3"/>
          </reference>
          <reference field="4" count="1" selected="0">
            <x v="15"/>
          </reference>
        </references>
      </pivotArea>
    </chartFormat>
    <chartFormat chart="4" format="50">
      <pivotArea type="data" outline="0" fieldPosition="0">
        <references count="2">
          <reference field="4294967294" count="1" selected="0">
            <x v="3"/>
          </reference>
          <reference field="4" count="1" selected="0">
            <x v="6"/>
          </reference>
        </references>
      </pivotArea>
    </chartFormat>
    <chartFormat chart="4" format="51">
      <pivotArea type="data" outline="0" fieldPosition="0">
        <references count="2">
          <reference field="4294967294" count="1" selected="0">
            <x v="3"/>
          </reference>
          <reference field="4" count="1" selected="0">
            <x v="18"/>
          </reference>
        </references>
      </pivotArea>
    </chartFormat>
    <chartFormat chart="4" format="52">
      <pivotArea type="data" outline="0" fieldPosition="0">
        <references count="2">
          <reference field="4294967294" count="1" selected="0">
            <x v="0"/>
          </reference>
          <reference field="4" count="1" selected="0">
            <x v="16"/>
          </reference>
        </references>
      </pivotArea>
    </chartFormat>
    <chartFormat chart="4" format="53">
      <pivotArea type="data" outline="0" fieldPosition="0">
        <references count="2">
          <reference field="4294967294" count="1" selected="0">
            <x v="0"/>
          </reference>
          <reference field="4" count="1" selected="0">
            <x v="5"/>
          </reference>
        </references>
      </pivotArea>
    </chartFormat>
    <chartFormat chart="4" format="54">
      <pivotArea type="data" outline="0" fieldPosition="0">
        <references count="2">
          <reference field="4294967294" count="1" selected="0">
            <x v="0"/>
          </reference>
          <reference field="4" count="1" selected="0">
            <x v="20"/>
          </reference>
        </references>
      </pivotArea>
    </chartFormat>
    <chartFormat chart="4" format="55">
      <pivotArea type="data" outline="0" fieldPosition="0">
        <references count="2">
          <reference field="4294967294" count="1" selected="0">
            <x v="1"/>
          </reference>
          <reference field="4" count="1" selected="0">
            <x v="16"/>
          </reference>
        </references>
      </pivotArea>
    </chartFormat>
    <chartFormat chart="4" format="56">
      <pivotArea type="data" outline="0" fieldPosition="0">
        <references count="2">
          <reference field="4294967294" count="1" selected="0">
            <x v="1"/>
          </reference>
          <reference field="4" count="1" selected="0">
            <x v="5"/>
          </reference>
        </references>
      </pivotArea>
    </chartFormat>
    <chartFormat chart="4" format="57">
      <pivotArea type="data" outline="0" fieldPosition="0">
        <references count="2">
          <reference field="4294967294" count="1" selected="0">
            <x v="1"/>
          </reference>
          <reference field="4" count="1" selected="0">
            <x v="20"/>
          </reference>
        </references>
      </pivotArea>
    </chartFormat>
    <chartFormat chart="4" format="58">
      <pivotArea type="data" outline="0" fieldPosition="0">
        <references count="2">
          <reference field="4294967294" count="1" selected="0">
            <x v="2"/>
          </reference>
          <reference field="4" count="1" selected="0">
            <x v="16"/>
          </reference>
        </references>
      </pivotArea>
    </chartFormat>
    <chartFormat chart="4" format="59">
      <pivotArea type="data" outline="0" fieldPosition="0">
        <references count="2">
          <reference field="4294967294" count="1" selected="0">
            <x v="2"/>
          </reference>
          <reference field="4" count="1" selected="0">
            <x v="5"/>
          </reference>
        </references>
      </pivotArea>
    </chartFormat>
    <chartFormat chart="4" format="60">
      <pivotArea type="data" outline="0" fieldPosition="0">
        <references count="2">
          <reference field="4294967294" count="1" selected="0">
            <x v="2"/>
          </reference>
          <reference field="4" count="1" selected="0">
            <x v="20"/>
          </reference>
        </references>
      </pivotArea>
    </chartFormat>
    <chartFormat chart="4" format="61">
      <pivotArea type="data" outline="0" fieldPosition="0">
        <references count="2">
          <reference field="4294967294" count="1" selected="0">
            <x v="3"/>
          </reference>
          <reference field="4" count="1" selected="0">
            <x v="16"/>
          </reference>
        </references>
      </pivotArea>
    </chartFormat>
    <chartFormat chart="4" format="62">
      <pivotArea type="data" outline="0" fieldPosition="0">
        <references count="2">
          <reference field="4294967294" count="1" selected="0">
            <x v="3"/>
          </reference>
          <reference field="4" count="1" selected="0">
            <x v="5"/>
          </reference>
        </references>
      </pivotArea>
    </chartFormat>
    <chartFormat chart="4" format="63">
      <pivotArea type="data" outline="0" fieldPosition="0">
        <references count="2">
          <reference field="4294967294" count="1" selected="0">
            <x v="3"/>
          </reference>
          <reference field="4" count="1" selected="0">
            <x v="20"/>
          </reference>
        </references>
      </pivotArea>
    </chartFormat>
    <chartFormat chart="2" format="4">
      <pivotArea type="data" outline="0" fieldPosition="0">
        <references count="2">
          <reference field="4294967294" count="1" selected="0">
            <x v="0"/>
          </reference>
          <reference field="4" count="1" selected="0">
            <x v="9"/>
          </reference>
        </references>
      </pivotArea>
    </chartFormat>
    <chartFormat chart="2" format="5">
      <pivotArea type="data" outline="0" fieldPosition="0">
        <references count="2">
          <reference field="4294967294" count="1" selected="0">
            <x v="0"/>
          </reference>
          <reference field="4" count="1" selected="0">
            <x v="4"/>
          </reference>
        </references>
      </pivotArea>
    </chartFormat>
    <chartFormat chart="2" format="6">
      <pivotArea type="data" outline="0" fieldPosition="0">
        <references count="2">
          <reference field="4294967294" count="1" selected="0">
            <x v="0"/>
          </reference>
          <reference field="4" count="1" selected="0">
            <x v="15"/>
          </reference>
        </references>
      </pivotArea>
    </chartFormat>
    <chartFormat chart="2" format="7">
      <pivotArea type="data" outline="0" fieldPosition="0">
        <references count="2">
          <reference field="4294967294" count="1" selected="0">
            <x v="0"/>
          </reference>
          <reference field="4" count="1" selected="0">
            <x v="6"/>
          </reference>
        </references>
      </pivotArea>
    </chartFormat>
    <chartFormat chart="2" format="8">
      <pivotArea type="data" outline="0" fieldPosition="0">
        <references count="2">
          <reference field="4294967294" count="1" selected="0">
            <x v="0"/>
          </reference>
          <reference field="4" count="1" selected="0">
            <x v="18"/>
          </reference>
        </references>
      </pivotArea>
    </chartFormat>
    <chartFormat chart="2" format="9">
      <pivotArea type="data" outline="0" fieldPosition="0">
        <references count="2">
          <reference field="4294967294" count="1" selected="0">
            <x v="1"/>
          </reference>
          <reference field="4" count="1" selected="0">
            <x v="9"/>
          </reference>
        </references>
      </pivotArea>
    </chartFormat>
    <chartFormat chart="2" format="10">
      <pivotArea type="data" outline="0" fieldPosition="0">
        <references count="2">
          <reference field="4294967294" count="1" selected="0">
            <x v="1"/>
          </reference>
          <reference field="4" count="1" selected="0">
            <x v="4"/>
          </reference>
        </references>
      </pivotArea>
    </chartFormat>
    <chartFormat chart="2" format="11">
      <pivotArea type="data" outline="0" fieldPosition="0">
        <references count="2">
          <reference field="4294967294" count="1" selected="0">
            <x v="1"/>
          </reference>
          <reference field="4" count="1" selected="0">
            <x v="15"/>
          </reference>
        </references>
      </pivotArea>
    </chartFormat>
    <chartFormat chart="2" format="12">
      <pivotArea type="data" outline="0" fieldPosition="0">
        <references count="2">
          <reference field="4294967294" count="1" selected="0">
            <x v="1"/>
          </reference>
          <reference field="4" count="1" selected="0">
            <x v="6"/>
          </reference>
        </references>
      </pivotArea>
    </chartFormat>
    <chartFormat chart="2" format="13">
      <pivotArea type="data" outline="0" fieldPosition="0">
        <references count="2">
          <reference field="4294967294" count="1" selected="0">
            <x v="1"/>
          </reference>
          <reference field="4" count="1" selected="0">
            <x v="18"/>
          </reference>
        </references>
      </pivotArea>
    </chartFormat>
    <chartFormat chart="2" format="14">
      <pivotArea type="data" outline="0" fieldPosition="0">
        <references count="2">
          <reference field="4294967294" count="1" selected="0">
            <x v="2"/>
          </reference>
          <reference field="4" count="1" selected="0">
            <x v="9"/>
          </reference>
        </references>
      </pivotArea>
    </chartFormat>
    <chartFormat chart="2" format="15">
      <pivotArea type="data" outline="0" fieldPosition="0">
        <references count="2">
          <reference field="4294967294" count="1" selected="0">
            <x v="2"/>
          </reference>
          <reference field="4" count="1" selected="0">
            <x v="4"/>
          </reference>
        </references>
      </pivotArea>
    </chartFormat>
    <chartFormat chart="2" format="16">
      <pivotArea type="data" outline="0" fieldPosition="0">
        <references count="2">
          <reference field="4294967294" count="1" selected="0">
            <x v="2"/>
          </reference>
          <reference field="4" count="1" selected="0">
            <x v="15"/>
          </reference>
        </references>
      </pivotArea>
    </chartFormat>
    <chartFormat chart="2" format="17">
      <pivotArea type="data" outline="0" fieldPosition="0">
        <references count="2">
          <reference field="4294967294" count="1" selected="0">
            <x v="2"/>
          </reference>
          <reference field="4" count="1" selected="0">
            <x v="6"/>
          </reference>
        </references>
      </pivotArea>
    </chartFormat>
    <chartFormat chart="2" format="18">
      <pivotArea type="data" outline="0" fieldPosition="0">
        <references count="2">
          <reference field="4294967294" count="1" selected="0">
            <x v="2"/>
          </reference>
          <reference field="4" count="1" selected="0">
            <x v="18"/>
          </reference>
        </references>
      </pivotArea>
    </chartFormat>
    <chartFormat chart="2" format="19">
      <pivotArea type="data" outline="0" fieldPosition="0">
        <references count="2">
          <reference field="4294967294" count="1" selected="0">
            <x v="3"/>
          </reference>
          <reference field="4" count="1" selected="0">
            <x v="9"/>
          </reference>
        </references>
      </pivotArea>
    </chartFormat>
    <chartFormat chart="2" format="20">
      <pivotArea type="data" outline="0" fieldPosition="0">
        <references count="2">
          <reference field="4294967294" count="1" selected="0">
            <x v="3"/>
          </reference>
          <reference field="4" count="1" selected="0">
            <x v="4"/>
          </reference>
        </references>
      </pivotArea>
    </chartFormat>
    <chartFormat chart="2" format="21">
      <pivotArea type="data" outline="0" fieldPosition="0">
        <references count="2">
          <reference field="4294967294" count="1" selected="0">
            <x v="3"/>
          </reference>
          <reference field="4" count="1" selected="0">
            <x v="15"/>
          </reference>
        </references>
      </pivotArea>
    </chartFormat>
    <chartFormat chart="2" format="22">
      <pivotArea type="data" outline="0" fieldPosition="0">
        <references count="2">
          <reference field="4294967294" count="1" selected="0">
            <x v="3"/>
          </reference>
          <reference field="4" count="1" selected="0">
            <x v="6"/>
          </reference>
        </references>
      </pivotArea>
    </chartFormat>
    <chartFormat chart="2" format="23">
      <pivotArea type="data" outline="0" fieldPosition="0">
        <references count="2">
          <reference field="4294967294" count="1" selected="0">
            <x v="3"/>
          </reference>
          <reference field="4" count="1" selected="0">
            <x v="18"/>
          </reference>
        </references>
      </pivotArea>
    </chartFormat>
    <chartFormat chart="2" format="24">
      <pivotArea type="data" outline="0" fieldPosition="0">
        <references count="2">
          <reference field="4294967294" count="1" selected="0">
            <x v="0"/>
          </reference>
          <reference field="4" count="1" selected="0">
            <x v="8"/>
          </reference>
        </references>
      </pivotArea>
    </chartFormat>
    <chartFormat chart="2" format="25">
      <pivotArea type="data" outline="0" fieldPosition="0">
        <references count="2">
          <reference field="4294967294" count="1" selected="0">
            <x v="0"/>
          </reference>
          <reference field="4" count="1" selected="0">
            <x v="20"/>
          </reference>
        </references>
      </pivotArea>
    </chartFormat>
    <chartFormat chart="2" format="26">
      <pivotArea type="data" outline="0" fieldPosition="0">
        <references count="2">
          <reference field="4294967294" count="1" selected="0">
            <x v="0"/>
          </reference>
          <reference field="4" count="1" selected="0">
            <x v="23"/>
          </reference>
        </references>
      </pivotArea>
    </chartFormat>
    <chartFormat chart="2" format="27">
      <pivotArea type="data" outline="0" fieldPosition="0">
        <references count="2">
          <reference field="4294967294" count="1" selected="0">
            <x v="0"/>
          </reference>
          <reference field="4" count="1" selected="0">
            <x v="10"/>
          </reference>
        </references>
      </pivotArea>
    </chartFormat>
    <chartFormat chart="2" format="28">
      <pivotArea type="data" outline="0" fieldPosition="0">
        <references count="2">
          <reference field="4294967294" count="1" selected="0">
            <x v="1"/>
          </reference>
          <reference field="4" count="1" selected="0">
            <x v="8"/>
          </reference>
        </references>
      </pivotArea>
    </chartFormat>
    <chartFormat chart="2" format="29">
      <pivotArea type="data" outline="0" fieldPosition="0">
        <references count="2">
          <reference field="4294967294" count="1" selected="0">
            <x v="1"/>
          </reference>
          <reference field="4" count="1" selected="0">
            <x v="20"/>
          </reference>
        </references>
      </pivotArea>
    </chartFormat>
    <chartFormat chart="2" format="30">
      <pivotArea type="data" outline="0" fieldPosition="0">
        <references count="2">
          <reference field="4294967294" count="1" selected="0">
            <x v="1"/>
          </reference>
          <reference field="4" count="1" selected="0">
            <x v="23"/>
          </reference>
        </references>
      </pivotArea>
    </chartFormat>
    <chartFormat chart="2" format="31">
      <pivotArea type="data" outline="0" fieldPosition="0">
        <references count="2">
          <reference field="4294967294" count="1" selected="0">
            <x v="1"/>
          </reference>
          <reference field="4" count="1" selected="0">
            <x v="10"/>
          </reference>
        </references>
      </pivotArea>
    </chartFormat>
    <chartFormat chart="2" format="32">
      <pivotArea type="data" outline="0" fieldPosition="0">
        <references count="2">
          <reference field="4294967294" count="1" selected="0">
            <x v="2"/>
          </reference>
          <reference field="4" count="1" selected="0">
            <x v="8"/>
          </reference>
        </references>
      </pivotArea>
    </chartFormat>
    <chartFormat chart="2" format="33">
      <pivotArea type="data" outline="0" fieldPosition="0">
        <references count="2">
          <reference field="4294967294" count="1" selected="0">
            <x v="2"/>
          </reference>
          <reference field="4" count="1" selected="0">
            <x v="20"/>
          </reference>
        </references>
      </pivotArea>
    </chartFormat>
    <chartFormat chart="2" format="34">
      <pivotArea type="data" outline="0" fieldPosition="0">
        <references count="2">
          <reference field="4294967294" count="1" selected="0">
            <x v="2"/>
          </reference>
          <reference field="4" count="1" selected="0">
            <x v="23"/>
          </reference>
        </references>
      </pivotArea>
    </chartFormat>
    <chartFormat chart="2" format="35">
      <pivotArea type="data" outline="0" fieldPosition="0">
        <references count="2">
          <reference field="4294967294" count="1" selected="0">
            <x v="2"/>
          </reference>
          <reference field="4" count="1" selected="0">
            <x v="10"/>
          </reference>
        </references>
      </pivotArea>
    </chartFormat>
    <chartFormat chart="2" format="36">
      <pivotArea type="data" outline="0" fieldPosition="0">
        <references count="2">
          <reference field="4294967294" count="1" selected="0">
            <x v="3"/>
          </reference>
          <reference field="4" count="1" selected="0">
            <x v="8"/>
          </reference>
        </references>
      </pivotArea>
    </chartFormat>
    <chartFormat chart="2" format="37">
      <pivotArea type="data" outline="0" fieldPosition="0">
        <references count="2">
          <reference field="4294967294" count="1" selected="0">
            <x v="3"/>
          </reference>
          <reference field="4" count="1" selected="0">
            <x v="20"/>
          </reference>
        </references>
      </pivotArea>
    </chartFormat>
    <chartFormat chart="2" format="38">
      <pivotArea type="data" outline="0" fieldPosition="0">
        <references count="2">
          <reference field="4294967294" count="1" selected="0">
            <x v="3"/>
          </reference>
          <reference field="4" count="1" selected="0">
            <x v="23"/>
          </reference>
        </references>
      </pivotArea>
    </chartFormat>
    <chartFormat chart="2" format="39">
      <pivotArea type="data" outline="0" fieldPosition="0">
        <references count="2">
          <reference field="4294967294" count="1" selected="0">
            <x v="3"/>
          </reference>
          <reference field="4" count="1" selected="0">
            <x v="10"/>
          </reference>
        </references>
      </pivotArea>
    </chartFormat>
    <chartFormat chart="4" format="64">
      <pivotArea type="data" outline="0" fieldPosition="0">
        <references count="2">
          <reference field="4294967294" count="1" selected="0">
            <x v="0"/>
          </reference>
          <reference field="4" count="1" selected="0">
            <x v="0"/>
          </reference>
        </references>
      </pivotArea>
    </chartFormat>
    <chartFormat chart="4" format="65">
      <pivotArea type="data" outline="0" fieldPosition="0">
        <references count="2">
          <reference field="4294967294" count="1" selected="0">
            <x v="0"/>
          </reference>
          <reference field="4" count="1" selected="0">
            <x v="22"/>
          </reference>
        </references>
      </pivotArea>
    </chartFormat>
    <chartFormat chart="4" format="66">
      <pivotArea type="data" outline="0" fieldPosition="0">
        <references count="2">
          <reference field="4294967294" count="1" selected="0">
            <x v="0"/>
          </reference>
          <reference field="4" count="1" selected="0">
            <x v="17"/>
          </reference>
        </references>
      </pivotArea>
    </chartFormat>
    <chartFormat chart="4" format="67">
      <pivotArea type="data" outline="0" fieldPosition="0">
        <references count="2">
          <reference field="4294967294" count="1" selected="0">
            <x v="0"/>
          </reference>
          <reference field="4" count="1" selected="0">
            <x v="21"/>
          </reference>
        </references>
      </pivotArea>
    </chartFormat>
    <chartFormat chart="4" format="68">
      <pivotArea type="data" outline="0" fieldPosition="0">
        <references count="2">
          <reference field="4294967294" count="1" selected="0">
            <x v="1"/>
          </reference>
          <reference field="4" count="1" selected="0">
            <x v="0"/>
          </reference>
        </references>
      </pivotArea>
    </chartFormat>
    <chartFormat chart="4" format="69">
      <pivotArea type="data" outline="0" fieldPosition="0">
        <references count="2">
          <reference field="4294967294" count="1" selected="0">
            <x v="1"/>
          </reference>
          <reference field="4" count="1" selected="0">
            <x v="22"/>
          </reference>
        </references>
      </pivotArea>
    </chartFormat>
    <chartFormat chart="4" format="70">
      <pivotArea type="data" outline="0" fieldPosition="0">
        <references count="2">
          <reference field="4294967294" count="1" selected="0">
            <x v="1"/>
          </reference>
          <reference field="4" count="1" selected="0">
            <x v="17"/>
          </reference>
        </references>
      </pivotArea>
    </chartFormat>
    <chartFormat chart="4" format="71">
      <pivotArea type="data" outline="0" fieldPosition="0">
        <references count="2">
          <reference field="4294967294" count="1" selected="0">
            <x v="1"/>
          </reference>
          <reference field="4" count="1" selected="0">
            <x v="21"/>
          </reference>
        </references>
      </pivotArea>
    </chartFormat>
    <chartFormat chart="4" format="72">
      <pivotArea type="data" outline="0" fieldPosition="0">
        <references count="2">
          <reference field="4294967294" count="1" selected="0">
            <x v="2"/>
          </reference>
          <reference field="4" count="1" selected="0">
            <x v="0"/>
          </reference>
        </references>
      </pivotArea>
    </chartFormat>
    <chartFormat chart="4" format="73">
      <pivotArea type="data" outline="0" fieldPosition="0">
        <references count="2">
          <reference field="4294967294" count="1" selected="0">
            <x v="2"/>
          </reference>
          <reference field="4" count="1" selected="0">
            <x v="22"/>
          </reference>
        </references>
      </pivotArea>
    </chartFormat>
    <chartFormat chart="4" format="74">
      <pivotArea type="data" outline="0" fieldPosition="0">
        <references count="2">
          <reference field="4294967294" count="1" selected="0">
            <x v="2"/>
          </reference>
          <reference field="4" count="1" selected="0">
            <x v="17"/>
          </reference>
        </references>
      </pivotArea>
    </chartFormat>
    <chartFormat chart="4" format="75">
      <pivotArea type="data" outline="0" fieldPosition="0">
        <references count="2">
          <reference field="4294967294" count="1" selected="0">
            <x v="2"/>
          </reference>
          <reference field="4" count="1" selected="0">
            <x v="21"/>
          </reference>
        </references>
      </pivotArea>
    </chartFormat>
    <chartFormat chart="4" format="76">
      <pivotArea type="data" outline="0" fieldPosition="0">
        <references count="2">
          <reference field="4294967294" count="1" selected="0">
            <x v="3"/>
          </reference>
          <reference field="4" count="1" selected="0">
            <x v="0"/>
          </reference>
        </references>
      </pivotArea>
    </chartFormat>
    <chartFormat chart="4" format="77">
      <pivotArea type="data" outline="0" fieldPosition="0">
        <references count="2">
          <reference field="4294967294" count="1" selected="0">
            <x v="3"/>
          </reference>
          <reference field="4" count="1" selected="0">
            <x v="22"/>
          </reference>
        </references>
      </pivotArea>
    </chartFormat>
    <chartFormat chart="4" format="78">
      <pivotArea type="data" outline="0" fieldPosition="0">
        <references count="2">
          <reference field="4294967294" count="1" selected="0">
            <x v="3"/>
          </reference>
          <reference field="4" count="1" selected="0">
            <x v="17"/>
          </reference>
        </references>
      </pivotArea>
    </chartFormat>
    <chartFormat chart="4" format="79">
      <pivotArea type="data" outline="0" fieldPosition="0">
        <references count="2">
          <reference field="4294967294" count="1" selected="0">
            <x v="3"/>
          </reference>
          <reference field="4" count="1" selected="0">
            <x v="21"/>
          </reference>
        </references>
      </pivotArea>
    </chartFormat>
    <chartFormat chart="2" format="40">
      <pivotArea type="data" outline="0" fieldPosition="0">
        <references count="2">
          <reference field="4294967294" count="1" selected="0">
            <x v="0"/>
          </reference>
          <reference field="4" count="1" selected="0">
            <x v="16"/>
          </reference>
        </references>
      </pivotArea>
    </chartFormat>
    <chartFormat chart="2" format="41">
      <pivotArea type="data" outline="0" fieldPosition="0">
        <references count="2">
          <reference field="4294967294" count="1" selected="0">
            <x v="1"/>
          </reference>
          <reference field="4" count="1" selected="0">
            <x v="16"/>
          </reference>
        </references>
      </pivotArea>
    </chartFormat>
    <chartFormat chart="2" format="42">
      <pivotArea type="data" outline="0" fieldPosition="0">
        <references count="2">
          <reference field="4294967294" count="1" selected="0">
            <x v="2"/>
          </reference>
          <reference field="4" count="1" selected="0">
            <x v="16"/>
          </reference>
        </references>
      </pivotArea>
    </chartFormat>
    <chartFormat chart="2" format="43">
      <pivotArea type="data" outline="0" fieldPosition="0">
        <references count="2">
          <reference field="4294967294" count="1" selected="0">
            <x v="3"/>
          </reference>
          <reference field="4" count="1" selected="0">
            <x v="16"/>
          </reference>
        </references>
      </pivotArea>
    </chartFormat>
    <chartFormat chart="2" format="44">
      <pivotArea type="data" outline="0" fieldPosition="0">
        <references count="2">
          <reference field="4294967294" count="1" selected="0">
            <x v="0"/>
          </reference>
          <reference field="4" count="1" selected="0">
            <x v="11"/>
          </reference>
        </references>
      </pivotArea>
    </chartFormat>
    <chartFormat chart="2" format="45">
      <pivotArea type="data" outline="0" fieldPosition="0">
        <references count="2">
          <reference field="4294967294" count="1" selected="0">
            <x v="1"/>
          </reference>
          <reference field="4" count="1" selected="0">
            <x v="11"/>
          </reference>
        </references>
      </pivotArea>
    </chartFormat>
    <chartFormat chart="2" format="46">
      <pivotArea type="data" outline="0" fieldPosition="0">
        <references count="2">
          <reference field="4294967294" count="1" selected="0">
            <x v="2"/>
          </reference>
          <reference field="4" count="1" selected="0">
            <x v="11"/>
          </reference>
        </references>
      </pivotArea>
    </chartFormat>
    <chartFormat chart="2" format="47">
      <pivotArea type="data" outline="0" fieldPosition="0">
        <references count="2">
          <reference field="4294967294" count="1" selected="0">
            <x v="3"/>
          </reference>
          <reference field="4" count="1" selected="0">
            <x v="11"/>
          </reference>
        </references>
      </pivotArea>
    </chartFormat>
    <chartFormat chart="2" format="48">
      <pivotArea type="data" outline="0" fieldPosition="0">
        <references count="2">
          <reference field="4294967294" count="1" selected="0">
            <x v="0"/>
          </reference>
          <reference field="4" count="1" selected="0">
            <x v="1"/>
          </reference>
        </references>
      </pivotArea>
    </chartFormat>
    <chartFormat chart="2" format="49">
      <pivotArea type="data" outline="0" fieldPosition="0">
        <references count="2">
          <reference field="4294967294" count="1" selected="0">
            <x v="1"/>
          </reference>
          <reference field="4" count="1" selected="0">
            <x v="1"/>
          </reference>
        </references>
      </pivotArea>
    </chartFormat>
    <chartFormat chart="2" format="50">
      <pivotArea type="data" outline="0" fieldPosition="0">
        <references count="2">
          <reference field="4294967294" count="1" selected="0">
            <x v="2"/>
          </reference>
          <reference field="4" count="1" selected="0">
            <x v="1"/>
          </reference>
        </references>
      </pivotArea>
    </chartFormat>
    <chartFormat chart="2" format="51">
      <pivotArea type="data" outline="0" fieldPosition="0">
        <references count="2">
          <reference field="4294967294" count="1" selected="0">
            <x v="3"/>
          </reference>
          <reference field="4" count="1" selected="0">
            <x v="1"/>
          </reference>
        </references>
      </pivotArea>
    </chartFormat>
    <chartFormat chart="4" format="80">
      <pivotArea type="data" outline="0" fieldPosition="0">
        <references count="2">
          <reference field="4294967294" count="1" selected="0">
            <x v="0"/>
          </reference>
          <reference field="4" count="1" selected="0">
            <x v="19"/>
          </reference>
        </references>
      </pivotArea>
    </chartFormat>
    <chartFormat chart="4" format="81">
      <pivotArea type="data" outline="0" fieldPosition="0">
        <references count="2">
          <reference field="4294967294" count="1" selected="0">
            <x v="0"/>
          </reference>
          <reference field="4" count="1" selected="0">
            <x v="1"/>
          </reference>
        </references>
      </pivotArea>
    </chartFormat>
    <chartFormat chart="4" format="82">
      <pivotArea type="data" outline="0" fieldPosition="0">
        <references count="2">
          <reference field="4294967294" count="1" selected="0">
            <x v="0"/>
          </reference>
          <reference field="4" count="1" selected="0">
            <x v="7"/>
          </reference>
        </references>
      </pivotArea>
    </chartFormat>
    <chartFormat chart="4" format="83">
      <pivotArea type="data" outline="0" fieldPosition="0">
        <references count="2">
          <reference field="4294967294" count="1" selected="0">
            <x v="1"/>
          </reference>
          <reference field="4" count="1" selected="0">
            <x v="19"/>
          </reference>
        </references>
      </pivotArea>
    </chartFormat>
    <chartFormat chart="4" format="84">
      <pivotArea type="data" outline="0" fieldPosition="0">
        <references count="2">
          <reference field="4294967294" count="1" selected="0">
            <x v="1"/>
          </reference>
          <reference field="4" count="1" selected="0">
            <x v="1"/>
          </reference>
        </references>
      </pivotArea>
    </chartFormat>
    <chartFormat chart="4" format="85">
      <pivotArea type="data" outline="0" fieldPosition="0">
        <references count="2">
          <reference field="4294967294" count="1" selected="0">
            <x v="1"/>
          </reference>
          <reference field="4" count="1" selected="0">
            <x v="7"/>
          </reference>
        </references>
      </pivotArea>
    </chartFormat>
    <chartFormat chart="4" format="86">
      <pivotArea type="data" outline="0" fieldPosition="0">
        <references count="2">
          <reference field="4294967294" count="1" selected="0">
            <x v="2"/>
          </reference>
          <reference field="4" count="1" selected="0">
            <x v="19"/>
          </reference>
        </references>
      </pivotArea>
    </chartFormat>
    <chartFormat chart="4" format="87">
      <pivotArea type="data" outline="0" fieldPosition="0">
        <references count="2">
          <reference field="4294967294" count="1" selected="0">
            <x v="2"/>
          </reference>
          <reference field="4" count="1" selected="0">
            <x v="1"/>
          </reference>
        </references>
      </pivotArea>
    </chartFormat>
    <chartFormat chart="4" format="88">
      <pivotArea type="data" outline="0" fieldPosition="0">
        <references count="2">
          <reference field="4294967294" count="1" selected="0">
            <x v="2"/>
          </reference>
          <reference field="4" count="1" selected="0">
            <x v="7"/>
          </reference>
        </references>
      </pivotArea>
    </chartFormat>
    <chartFormat chart="4" format="89">
      <pivotArea type="data" outline="0" fieldPosition="0">
        <references count="2">
          <reference field="4294967294" count="1" selected="0">
            <x v="3"/>
          </reference>
          <reference field="4" count="1" selected="0">
            <x v="19"/>
          </reference>
        </references>
      </pivotArea>
    </chartFormat>
    <chartFormat chart="4" format="90">
      <pivotArea type="data" outline="0" fieldPosition="0">
        <references count="2">
          <reference field="4294967294" count="1" selected="0">
            <x v="3"/>
          </reference>
          <reference field="4" count="1" selected="0">
            <x v="1"/>
          </reference>
        </references>
      </pivotArea>
    </chartFormat>
    <chartFormat chart="4" format="91">
      <pivotArea type="data" outline="0" fieldPosition="0">
        <references count="2">
          <reference field="4294967294" count="1" selected="0">
            <x v="3"/>
          </reference>
          <reference field="4" count="1" selected="0">
            <x v="7"/>
          </reference>
        </references>
      </pivotArea>
    </chartFormat>
    <chartFormat chart="4" format="92">
      <pivotArea type="data" outline="0" fieldPosition="0">
        <references count="2">
          <reference field="4294967294" count="1" selected="0">
            <x v="0"/>
          </reference>
          <reference field="4" count="1" selected="0">
            <x v="3"/>
          </reference>
        </references>
      </pivotArea>
    </chartFormat>
    <chartFormat chart="4" format="93">
      <pivotArea type="data" outline="0" fieldPosition="0">
        <references count="2">
          <reference field="4294967294" count="1" selected="0">
            <x v="0"/>
          </reference>
          <reference field="4" count="1" selected="0">
            <x v="23"/>
          </reference>
        </references>
      </pivotArea>
    </chartFormat>
    <chartFormat chart="4" format="94">
      <pivotArea type="data" outline="0" fieldPosition="0">
        <references count="2">
          <reference field="4294967294" count="1" selected="0">
            <x v="0"/>
          </reference>
          <reference field="4" count="1" selected="0">
            <x v="10"/>
          </reference>
        </references>
      </pivotArea>
    </chartFormat>
    <chartFormat chart="4" format="95">
      <pivotArea type="data" outline="0" fieldPosition="0">
        <references count="2">
          <reference field="4294967294" count="1" selected="0">
            <x v="1"/>
          </reference>
          <reference field="4" count="1" selected="0">
            <x v="3"/>
          </reference>
        </references>
      </pivotArea>
    </chartFormat>
    <chartFormat chart="4" format="96">
      <pivotArea type="data" outline="0" fieldPosition="0">
        <references count="2">
          <reference field="4294967294" count="1" selected="0">
            <x v="1"/>
          </reference>
          <reference field="4" count="1" selected="0">
            <x v="23"/>
          </reference>
        </references>
      </pivotArea>
    </chartFormat>
    <chartFormat chart="4" format="97">
      <pivotArea type="data" outline="0" fieldPosition="0">
        <references count="2">
          <reference field="4294967294" count="1" selected="0">
            <x v="1"/>
          </reference>
          <reference field="4" count="1" selected="0">
            <x v="10"/>
          </reference>
        </references>
      </pivotArea>
    </chartFormat>
    <chartFormat chart="4" format="98">
      <pivotArea type="data" outline="0" fieldPosition="0">
        <references count="2">
          <reference field="4294967294" count="1" selected="0">
            <x v="2"/>
          </reference>
          <reference field="4" count="1" selected="0">
            <x v="3"/>
          </reference>
        </references>
      </pivotArea>
    </chartFormat>
    <chartFormat chart="4" format="99">
      <pivotArea type="data" outline="0" fieldPosition="0">
        <references count="2">
          <reference field="4294967294" count="1" selected="0">
            <x v="2"/>
          </reference>
          <reference field="4" count="1" selected="0">
            <x v="23"/>
          </reference>
        </references>
      </pivotArea>
    </chartFormat>
    <chartFormat chart="4" format="100">
      <pivotArea type="data" outline="0" fieldPosition="0">
        <references count="2">
          <reference field="4294967294" count="1" selected="0">
            <x v="2"/>
          </reference>
          <reference field="4" count="1" selected="0">
            <x v="10"/>
          </reference>
        </references>
      </pivotArea>
    </chartFormat>
    <chartFormat chart="4" format="101">
      <pivotArea type="data" outline="0" fieldPosition="0">
        <references count="2">
          <reference field="4294967294" count="1" selected="0">
            <x v="3"/>
          </reference>
          <reference field="4" count="1" selected="0">
            <x v="3"/>
          </reference>
        </references>
      </pivotArea>
    </chartFormat>
    <chartFormat chart="4" format="102">
      <pivotArea type="data" outline="0" fieldPosition="0">
        <references count="2">
          <reference field="4294967294" count="1" selected="0">
            <x v="3"/>
          </reference>
          <reference field="4" count="1" selected="0">
            <x v="23"/>
          </reference>
        </references>
      </pivotArea>
    </chartFormat>
    <chartFormat chart="4" format="103">
      <pivotArea type="data" outline="0" fieldPosition="0">
        <references count="2">
          <reference field="4294967294" count="1" selected="0">
            <x v="3"/>
          </reference>
          <reference field="4" count="1" selected="0">
            <x v="1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4F46F1-B210-44F1-AC2D-A2A4D3C27902}" name="Pivot_Wilayah"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rowHeaderCaption="Wilayah">
  <location ref="A33:D45" firstHeaderRow="0" firstDataRow="1" firstDataCol="1"/>
  <pivotFields count="12">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ascending">
      <items count="12">
        <item x="3"/>
        <item x="8"/>
        <item x="9"/>
        <item x="4"/>
        <item x="2"/>
        <item x="7"/>
        <item x="10"/>
        <item x="6"/>
        <item x="0"/>
        <item x="5"/>
        <item x="1"/>
        <item t="default"/>
      </items>
    </pivotField>
    <pivotField showAll="0">
      <items count="6">
        <item x="3"/>
        <item x="4"/>
        <item x="0"/>
        <item x="2"/>
        <item x="1"/>
        <item t="default"/>
      </items>
    </pivotField>
    <pivotField showAll="0"/>
    <pivotField dataField="1" showAll="0"/>
    <pivotField numFmtId="164" showAll="0"/>
    <pivotField dataField="1" numFmtId="164" showAll="0"/>
    <pivotField showAll="0"/>
    <pivotField showAll="0"/>
    <pivotField showAll="0">
      <items count="25">
        <item m="1" x="16"/>
        <item m="1" x="13"/>
        <item m="1" x="17"/>
        <item m="1" x="22"/>
        <item m="1" x="12"/>
        <item m="1" x="14"/>
        <item m="1" x="15"/>
        <item m="1" x="18"/>
        <item m="1" x="19"/>
        <item m="1" x="20"/>
        <item m="1" x="21"/>
        <item m="1" x="23"/>
        <item x="0"/>
        <item x="1"/>
        <item x="2"/>
        <item x="3"/>
        <item x="4"/>
        <item x="5"/>
        <item x="6"/>
        <item x="7"/>
        <item x="8"/>
        <item x="9"/>
        <item x="10"/>
        <item x="1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2">
    <i>
      <x/>
    </i>
    <i>
      <x v="1"/>
    </i>
    <i>
      <x v="2"/>
    </i>
    <i>
      <x v="3"/>
    </i>
    <i>
      <x v="4"/>
    </i>
    <i>
      <x v="5"/>
    </i>
    <i>
      <x v="6"/>
    </i>
    <i>
      <x v="7"/>
    </i>
    <i>
      <x v="8"/>
    </i>
    <i>
      <x v="9"/>
    </i>
    <i>
      <x v="10"/>
    </i>
    <i t="grand">
      <x/>
    </i>
  </rowItems>
  <colFields count="1">
    <field x="-2"/>
  </colFields>
  <colItems count="3">
    <i>
      <x/>
    </i>
    <i i="1">
      <x v="1"/>
    </i>
    <i i="2">
      <x v="2"/>
    </i>
  </colItems>
  <dataFields count="3">
    <dataField name="Total Penjualan" fld="7" baseField="0" baseItem="0"/>
    <dataField name="persentasi kontribusi" fld="7" showDataAs="percentOfTotal" baseField="0" baseItem="0" numFmtId="10"/>
    <dataField name="Jumlah Transaksi" fld="5" subtotal="count" baseField="2" baseItem="8"/>
  </dataFields>
  <formats count="2">
    <format dxfId="4025">
      <pivotArea outline="0" collapsedLevelsAreSubtotals="1" fieldPosition="0"/>
    </format>
    <format dxfId="4024">
      <pivotArea dataOnly="0" labelOnly="1" outline="0" fieldPosition="0">
        <references count="1">
          <reference field="4294967294" count="3">
            <x v="0"/>
            <x v="1"/>
            <x v="2"/>
          </reference>
        </references>
      </pivotArea>
    </format>
  </formats>
  <chartFormats count="42">
    <chartFormat chart="9" format="0" series="1">
      <pivotArea type="data" outline="0" fieldPosition="0">
        <references count="1">
          <reference field="4294967294" count="1" selected="0">
            <x v="2"/>
          </reference>
        </references>
      </pivotArea>
    </chartFormat>
    <chartFormat chart="9"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1"/>
          </reference>
        </references>
      </pivotArea>
    </chartFormat>
    <chartFormat chart="9" format="3">
      <pivotArea type="data" outline="0" fieldPosition="0">
        <references count="2">
          <reference field="4294967294" count="1" selected="0">
            <x v="2"/>
          </reference>
          <reference field="2" count="1" selected="0">
            <x v="8"/>
          </reference>
        </references>
      </pivotArea>
    </chartFormat>
    <chartFormat chart="9" format="4">
      <pivotArea type="data" outline="0" fieldPosition="0">
        <references count="2">
          <reference field="4294967294" count="1" selected="0">
            <x v="2"/>
          </reference>
          <reference field="2" count="1" selected="0">
            <x v="3"/>
          </reference>
        </references>
      </pivotArea>
    </chartFormat>
    <chartFormat chart="9" format="5">
      <pivotArea type="data" outline="0" fieldPosition="0">
        <references count="2">
          <reference field="4294967294" count="1" selected="0">
            <x v="2"/>
          </reference>
          <reference field="2" count="1" selected="0">
            <x v="9"/>
          </reference>
        </references>
      </pivotArea>
    </chartFormat>
    <chartFormat chart="9" format="6">
      <pivotArea type="data" outline="0" fieldPosition="0">
        <references count="2">
          <reference field="4294967294" count="1" selected="0">
            <x v="2"/>
          </reference>
          <reference field="2" count="1" selected="0">
            <x v="5"/>
          </reference>
        </references>
      </pivotArea>
    </chartFormat>
    <chartFormat chart="9" format="7">
      <pivotArea type="data" outline="0" fieldPosition="0">
        <references count="2">
          <reference field="4294967294" count="1" selected="0">
            <x v="2"/>
          </reference>
          <reference field="2" count="1" selected="0">
            <x v="4"/>
          </reference>
        </references>
      </pivotArea>
    </chartFormat>
    <chartFormat chart="9" format="8">
      <pivotArea type="data" outline="0" fieldPosition="0">
        <references count="2">
          <reference field="4294967294" count="1" selected="0">
            <x v="2"/>
          </reference>
          <reference field="2" count="1" selected="0">
            <x v="0"/>
          </reference>
        </references>
      </pivotArea>
    </chartFormat>
    <chartFormat chart="9" format="9">
      <pivotArea type="data" outline="0" fieldPosition="0">
        <references count="2">
          <reference field="4294967294" count="1" selected="0">
            <x v="2"/>
          </reference>
          <reference field="2" count="1" selected="0">
            <x v="2"/>
          </reference>
        </references>
      </pivotArea>
    </chartFormat>
    <chartFormat chart="9" format="10">
      <pivotArea type="data" outline="0" fieldPosition="0">
        <references count="2">
          <reference field="4294967294" count="1" selected="0">
            <x v="2"/>
          </reference>
          <reference field="2" count="1" selected="0">
            <x v="10"/>
          </reference>
        </references>
      </pivotArea>
    </chartFormat>
    <chartFormat chart="9" format="11">
      <pivotArea type="data" outline="0" fieldPosition="0">
        <references count="2">
          <reference field="4294967294" count="1" selected="0">
            <x v="2"/>
          </reference>
          <reference field="2" count="1" selected="0">
            <x v="7"/>
          </reference>
        </references>
      </pivotArea>
    </chartFormat>
    <chartFormat chart="9" format="12">
      <pivotArea type="data" outline="0" fieldPosition="0">
        <references count="2">
          <reference field="4294967294" count="1" selected="0">
            <x v="2"/>
          </reference>
          <reference field="2" count="1" selected="0">
            <x v="1"/>
          </reference>
        </references>
      </pivotArea>
    </chartFormat>
    <chartFormat chart="9" format="13">
      <pivotArea type="data" outline="0" fieldPosition="0">
        <references count="2">
          <reference field="4294967294" count="1" selected="0">
            <x v="2"/>
          </reference>
          <reference field="2" count="1" selected="0">
            <x v="6"/>
          </reference>
        </references>
      </pivotArea>
    </chartFormat>
    <chartFormat chart="9" format="14">
      <pivotArea type="data" outline="0" fieldPosition="0">
        <references count="2">
          <reference field="4294967294" count="1" selected="0">
            <x v="0"/>
          </reference>
          <reference field="2" count="1" selected="0">
            <x v="8"/>
          </reference>
        </references>
      </pivotArea>
    </chartFormat>
    <chartFormat chart="9" format="15">
      <pivotArea type="data" outline="0" fieldPosition="0">
        <references count="2">
          <reference field="4294967294" count="1" selected="0">
            <x v="0"/>
          </reference>
          <reference field="2" count="1" selected="0">
            <x v="3"/>
          </reference>
        </references>
      </pivotArea>
    </chartFormat>
    <chartFormat chart="9" format="16">
      <pivotArea type="data" outline="0" fieldPosition="0">
        <references count="2">
          <reference field="4294967294" count="1" selected="0">
            <x v="0"/>
          </reference>
          <reference field="2" count="1" selected="0">
            <x v="9"/>
          </reference>
        </references>
      </pivotArea>
    </chartFormat>
    <chartFormat chart="9" format="17">
      <pivotArea type="data" outline="0" fieldPosition="0">
        <references count="2">
          <reference field="4294967294" count="1" selected="0">
            <x v="0"/>
          </reference>
          <reference field="2" count="1" selected="0">
            <x v="5"/>
          </reference>
        </references>
      </pivotArea>
    </chartFormat>
    <chartFormat chart="9" format="18">
      <pivotArea type="data" outline="0" fieldPosition="0">
        <references count="2">
          <reference field="4294967294" count="1" selected="0">
            <x v="0"/>
          </reference>
          <reference field="2" count="1" selected="0">
            <x v="4"/>
          </reference>
        </references>
      </pivotArea>
    </chartFormat>
    <chartFormat chart="9" format="19">
      <pivotArea type="data" outline="0" fieldPosition="0">
        <references count="2">
          <reference field="4294967294" count="1" selected="0">
            <x v="0"/>
          </reference>
          <reference field="2" count="1" selected="0">
            <x v="0"/>
          </reference>
        </references>
      </pivotArea>
    </chartFormat>
    <chartFormat chart="9" format="20">
      <pivotArea type="data" outline="0" fieldPosition="0">
        <references count="2">
          <reference field="4294967294" count="1" selected="0">
            <x v="0"/>
          </reference>
          <reference field="2" count="1" selected="0">
            <x v="2"/>
          </reference>
        </references>
      </pivotArea>
    </chartFormat>
    <chartFormat chart="9" format="21">
      <pivotArea type="data" outline="0" fieldPosition="0">
        <references count="2">
          <reference field="4294967294" count="1" selected="0">
            <x v="0"/>
          </reference>
          <reference field="2" count="1" selected="0">
            <x v="10"/>
          </reference>
        </references>
      </pivotArea>
    </chartFormat>
    <chartFormat chart="9" format="22">
      <pivotArea type="data" outline="0" fieldPosition="0">
        <references count="2">
          <reference field="4294967294" count="1" selected="0">
            <x v="0"/>
          </reference>
          <reference field="2" count="1" selected="0">
            <x v="7"/>
          </reference>
        </references>
      </pivotArea>
    </chartFormat>
    <chartFormat chart="9" format="23">
      <pivotArea type="data" outline="0" fieldPosition="0">
        <references count="2">
          <reference field="4294967294" count="1" selected="0">
            <x v="0"/>
          </reference>
          <reference field="2" count="1" selected="0">
            <x v="1"/>
          </reference>
        </references>
      </pivotArea>
    </chartFormat>
    <chartFormat chart="9" format="24">
      <pivotArea type="data" outline="0" fieldPosition="0">
        <references count="2">
          <reference field="4294967294" count="1" selected="0">
            <x v="0"/>
          </reference>
          <reference field="2" count="1" selected="0">
            <x v="6"/>
          </reference>
        </references>
      </pivotArea>
    </chartFormat>
    <chartFormat chart="9" format="25">
      <pivotArea type="data" outline="0" fieldPosition="0">
        <references count="2">
          <reference field="4294967294" count="1" selected="0">
            <x v="1"/>
          </reference>
          <reference field="2" count="1" selected="0">
            <x v="8"/>
          </reference>
        </references>
      </pivotArea>
    </chartFormat>
    <chartFormat chart="9" format="26">
      <pivotArea type="data" outline="0" fieldPosition="0">
        <references count="2">
          <reference field="4294967294" count="1" selected="0">
            <x v="1"/>
          </reference>
          <reference field="2" count="1" selected="0">
            <x v="3"/>
          </reference>
        </references>
      </pivotArea>
    </chartFormat>
    <chartFormat chart="9" format="27">
      <pivotArea type="data" outline="0" fieldPosition="0">
        <references count="2">
          <reference field="4294967294" count="1" selected="0">
            <x v="1"/>
          </reference>
          <reference field="2" count="1" selected="0">
            <x v="9"/>
          </reference>
        </references>
      </pivotArea>
    </chartFormat>
    <chartFormat chart="9" format="28">
      <pivotArea type="data" outline="0" fieldPosition="0">
        <references count="2">
          <reference field="4294967294" count="1" selected="0">
            <x v="1"/>
          </reference>
          <reference field="2" count="1" selected="0">
            <x v="5"/>
          </reference>
        </references>
      </pivotArea>
    </chartFormat>
    <chartFormat chart="9" format="29">
      <pivotArea type="data" outline="0" fieldPosition="0">
        <references count="2">
          <reference field="4294967294" count="1" selected="0">
            <x v="1"/>
          </reference>
          <reference field="2" count="1" selected="0">
            <x v="4"/>
          </reference>
        </references>
      </pivotArea>
    </chartFormat>
    <chartFormat chart="9" format="30">
      <pivotArea type="data" outline="0" fieldPosition="0">
        <references count="2">
          <reference field="4294967294" count="1" selected="0">
            <x v="1"/>
          </reference>
          <reference field="2" count="1" selected="0">
            <x v="0"/>
          </reference>
        </references>
      </pivotArea>
    </chartFormat>
    <chartFormat chart="9" format="31">
      <pivotArea type="data" outline="0" fieldPosition="0">
        <references count="2">
          <reference field="4294967294" count="1" selected="0">
            <x v="1"/>
          </reference>
          <reference field="2" count="1" selected="0">
            <x v="2"/>
          </reference>
        </references>
      </pivotArea>
    </chartFormat>
    <chartFormat chart="9" format="32">
      <pivotArea type="data" outline="0" fieldPosition="0">
        <references count="2">
          <reference field="4294967294" count="1" selected="0">
            <x v="1"/>
          </reference>
          <reference field="2" count="1" selected="0">
            <x v="10"/>
          </reference>
        </references>
      </pivotArea>
    </chartFormat>
    <chartFormat chart="9" format="33">
      <pivotArea type="data" outline="0" fieldPosition="0">
        <references count="2">
          <reference field="4294967294" count="1" selected="0">
            <x v="1"/>
          </reference>
          <reference field="2" count="1" selected="0">
            <x v="7"/>
          </reference>
        </references>
      </pivotArea>
    </chartFormat>
    <chartFormat chart="9" format="34">
      <pivotArea type="data" outline="0" fieldPosition="0">
        <references count="2">
          <reference field="4294967294" count="1" selected="0">
            <x v="1"/>
          </reference>
          <reference field="2" count="1" selected="0">
            <x v="1"/>
          </reference>
        </references>
      </pivotArea>
    </chartFormat>
    <chartFormat chart="9" format="35">
      <pivotArea type="data" outline="0" fieldPosition="0">
        <references count="2">
          <reference field="4294967294" count="1" selected="0">
            <x v="1"/>
          </reference>
          <reference field="2" count="1" selected="0">
            <x v="6"/>
          </reference>
        </references>
      </pivotArea>
    </chartFormat>
    <chartFormat chart="13" format="0" series="1">
      <pivotArea type="data" outline="0" fieldPosition="0">
        <references count="1">
          <reference field="4294967294" count="1" selected="0">
            <x v="2"/>
          </reference>
        </references>
      </pivotArea>
    </chartFormat>
    <chartFormat chart="13"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1"/>
          </reference>
        </references>
      </pivotArea>
    </chartFormat>
    <chartFormat chart="15" format="6" series="1">
      <pivotArea type="data" outline="0" fieldPosition="0">
        <references count="1">
          <reference field="4294967294" count="1" selected="0">
            <x v="2"/>
          </reference>
        </references>
      </pivotArea>
    </chartFormat>
    <chartFormat chart="15" format="7"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6CADB9-89FE-4F90-8BF6-DC2FE6182CDD}" name="5_Produk_Terlari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Nama Produk">
  <location ref="G73:K79" firstHeaderRow="0" firstDataRow="1" firstDataCol="1"/>
  <pivotFields count="12">
    <pivotField showAll="0"/>
    <pivotField numFmtId="165" showAll="0"/>
    <pivotField showAll="0">
      <items count="12">
        <item x="3"/>
        <item x="8"/>
        <item x="9"/>
        <item x="4"/>
        <item x="2"/>
        <item x="7"/>
        <item x="10"/>
        <item x="6"/>
        <item x="0"/>
        <item x="5"/>
        <item x="1"/>
        <item t="default"/>
      </items>
    </pivotField>
    <pivotField axis="axisRow" showAll="0">
      <items count="6">
        <item x="3"/>
        <item x="4"/>
        <item x="0"/>
        <item x="2"/>
        <item x="1"/>
        <item t="default"/>
      </items>
    </pivotField>
    <pivotField axis="axisRow" showAll="0" measureFilter="1" sortType="descending">
      <items count="25">
        <item sd="0" x="3"/>
        <item sd="0" x="4"/>
        <item sd="0" x="21"/>
        <item sd="0" x="6"/>
        <item sd="0" x="10"/>
        <item sd="0" x="15"/>
        <item sd="0" x="13"/>
        <item sd="0" x="23"/>
        <item sd="0" x="7"/>
        <item sd="0" x="8"/>
        <item sd="0" x="12"/>
        <item sd="0" x="0"/>
        <item sd="0" x="22"/>
        <item sd="0" x="5"/>
        <item sd="0" x="14"/>
        <item sd="0" x="17"/>
        <item sd="0" x="11"/>
        <item sd="0" x="2"/>
        <item sd="0" x="19"/>
        <item sd="0" x="18"/>
        <item sd="0" x="9"/>
        <item sd="0" x="16"/>
        <item sd="0" x="20"/>
        <item sd="0" x="1"/>
        <item t="default" sd="0"/>
      </items>
      <autoSortScope>
        <pivotArea dataOnly="0" outline="0" fieldPosition="0">
          <references count="1">
            <reference field="4294967294" count="1" selected="0">
              <x v="0"/>
            </reference>
          </references>
        </pivotArea>
      </autoSortScope>
    </pivotField>
    <pivotField dataField="1" showAll="0"/>
    <pivotField numFmtId="164" showAll="0"/>
    <pivotField dataField="1" numFmtId="164" showAll="0"/>
    <pivotField showAll="0">
      <items count="7">
        <item x="4"/>
        <item x="2"/>
        <item x="1"/>
        <item x="5"/>
        <item x="0"/>
        <item x="3"/>
        <item t="default"/>
      </items>
    </pivotField>
    <pivotField showAll="0">
      <items count="4">
        <item x="1"/>
        <item x="2"/>
        <item x="0"/>
        <item t="default"/>
      </items>
    </pivotField>
    <pivotField showAll="0">
      <items count="25">
        <item m="1" x="16"/>
        <item m="1" x="13"/>
        <item m="1" x="17"/>
        <item m="1" x="22"/>
        <item m="1" x="12"/>
        <item m="1" x="14"/>
        <item m="1" x="15"/>
        <item m="1" x="18"/>
        <item m="1" x="19"/>
        <item m="1" x="20"/>
        <item m="1" x="21"/>
        <item m="1" x="23"/>
        <item x="0"/>
        <item x="1"/>
        <item x="2"/>
        <item x="3"/>
        <item x="4"/>
        <item x="5"/>
        <item x="6"/>
        <item x="7"/>
        <item x="8"/>
        <item x="9"/>
        <item x="10"/>
        <item x="11"/>
        <item t="default"/>
      </items>
    </pivotField>
    <pivotField showAll="0" defaultSubtotal="0"/>
  </pivotFields>
  <rowFields count="2">
    <field x="4"/>
    <field x="3"/>
  </rowFields>
  <rowItems count="6">
    <i>
      <x v="13"/>
    </i>
    <i>
      <x v="2"/>
    </i>
    <i>
      <x v="7"/>
    </i>
    <i>
      <x v="8"/>
    </i>
    <i>
      <x v="5"/>
    </i>
    <i t="grand">
      <x/>
    </i>
  </rowItems>
  <colFields count="1">
    <field x="-2"/>
  </colFields>
  <colItems count="4">
    <i>
      <x/>
    </i>
    <i i="1">
      <x v="1"/>
    </i>
    <i i="2">
      <x v="2"/>
    </i>
    <i i="3">
      <x v="3"/>
    </i>
  </colItems>
  <dataFields count="4">
    <dataField name="Total Penjualan" fld="7" baseField="0" baseItem="0" numFmtId="164"/>
    <dataField name="Kontribusi" fld="7" showDataAs="percentOfTotal" baseField="0" baseItem="0" numFmtId="10"/>
    <dataField name="Jumlah terjual" fld="5" baseField="0" baseItem="0"/>
    <dataField name="Jumlah Transaksi" fld="5" subtotal="count" baseField="4" baseItem="0"/>
  </dataFields>
  <formats count="8">
    <format dxfId="4033">
      <pivotArea outline="0" collapsedLevelsAreSubtotals="1" fieldPosition="0"/>
    </format>
    <format dxfId="4032">
      <pivotArea dataOnly="0" labelOnly="1" outline="0" fieldPosition="0">
        <references count="1">
          <reference field="4294967294" count="4">
            <x v="0"/>
            <x v="1"/>
            <x v="2"/>
            <x v="3"/>
          </reference>
        </references>
      </pivotArea>
    </format>
    <format dxfId="4031">
      <pivotArea type="all" dataOnly="0" outline="0" fieldPosition="0"/>
    </format>
    <format dxfId="4030">
      <pivotArea outline="0" collapsedLevelsAreSubtotals="1" fieldPosition="0"/>
    </format>
    <format dxfId="4029">
      <pivotArea field="4" type="button" dataOnly="0" labelOnly="1" outline="0" axis="axisRow" fieldPosition="0"/>
    </format>
    <format dxfId="4028">
      <pivotArea dataOnly="0" labelOnly="1" fieldPosition="0">
        <references count="1">
          <reference field="4" count="5">
            <x v="2"/>
            <x v="5"/>
            <x v="7"/>
            <x v="8"/>
            <x v="13"/>
          </reference>
        </references>
      </pivotArea>
    </format>
    <format dxfId="4027">
      <pivotArea dataOnly="0" labelOnly="1" grandRow="1" outline="0" fieldPosition="0"/>
    </format>
    <format dxfId="4026">
      <pivotArea dataOnly="0" labelOnly="1" outline="0" fieldPosition="0">
        <references count="1">
          <reference field="4294967294" count="4">
            <x v="0"/>
            <x v="1"/>
            <x v="2"/>
            <x v="3"/>
          </reference>
        </references>
      </pivotArea>
    </format>
  </formats>
  <chartFormats count="108">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 chart="8" format="28" series="1">
      <pivotArea type="data" outline="0" fieldPosition="0">
        <references count="1">
          <reference field="4294967294" count="1" selected="0">
            <x v="0"/>
          </reference>
        </references>
      </pivotArea>
    </chartFormat>
    <chartFormat chart="8" format="29">
      <pivotArea type="data" outline="0" fieldPosition="0">
        <references count="2">
          <reference field="4294967294" count="1" selected="0">
            <x v="0"/>
          </reference>
          <reference field="4" count="1" selected="0">
            <x v="13"/>
          </reference>
        </references>
      </pivotArea>
    </chartFormat>
    <chartFormat chart="8" format="30">
      <pivotArea type="data" outline="0" fieldPosition="0">
        <references count="2">
          <reference field="4294967294" count="1" selected="0">
            <x v="0"/>
          </reference>
          <reference field="4" count="1" selected="0">
            <x v="2"/>
          </reference>
        </references>
      </pivotArea>
    </chartFormat>
    <chartFormat chart="8" format="31">
      <pivotArea type="data" outline="0" fieldPosition="0">
        <references count="2">
          <reference field="4294967294" count="1" selected="0">
            <x v="0"/>
          </reference>
          <reference field="4" count="1" selected="0">
            <x v="7"/>
          </reference>
        </references>
      </pivotArea>
    </chartFormat>
    <chartFormat chart="8" format="32">
      <pivotArea type="data" outline="0" fieldPosition="0">
        <references count="2">
          <reference field="4294967294" count="1" selected="0">
            <x v="0"/>
          </reference>
          <reference field="4" count="1" selected="0">
            <x v="8"/>
          </reference>
        </references>
      </pivotArea>
    </chartFormat>
    <chartFormat chart="8" format="33">
      <pivotArea type="data" outline="0" fieldPosition="0">
        <references count="2">
          <reference field="4294967294" count="1" selected="0">
            <x v="0"/>
          </reference>
          <reference field="4" count="1" selected="0">
            <x v="5"/>
          </reference>
        </references>
      </pivotArea>
    </chartFormat>
    <chartFormat chart="8" format="34" series="1">
      <pivotArea type="data" outline="0" fieldPosition="0">
        <references count="1">
          <reference field="4294967294" count="1" selected="0">
            <x v="1"/>
          </reference>
        </references>
      </pivotArea>
    </chartFormat>
    <chartFormat chart="8" format="35">
      <pivotArea type="data" outline="0" fieldPosition="0">
        <references count="2">
          <reference field="4294967294" count="1" selected="0">
            <x v="1"/>
          </reference>
          <reference field="4" count="1" selected="0">
            <x v="13"/>
          </reference>
        </references>
      </pivotArea>
    </chartFormat>
    <chartFormat chart="8" format="36">
      <pivotArea type="data" outline="0" fieldPosition="0">
        <references count="2">
          <reference field="4294967294" count="1" selected="0">
            <x v="1"/>
          </reference>
          <reference field="4" count="1" selected="0">
            <x v="2"/>
          </reference>
        </references>
      </pivotArea>
    </chartFormat>
    <chartFormat chart="8" format="37">
      <pivotArea type="data" outline="0" fieldPosition="0">
        <references count="2">
          <reference field="4294967294" count="1" selected="0">
            <x v="1"/>
          </reference>
          <reference field="4" count="1" selected="0">
            <x v="7"/>
          </reference>
        </references>
      </pivotArea>
    </chartFormat>
    <chartFormat chart="8" format="38">
      <pivotArea type="data" outline="0" fieldPosition="0">
        <references count="2">
          <reference field="4294967294" count="1" selected="0">
            <x v="1"/>
          </reference>
          <reference field="4" count="1" selected="0">
            <x v="8"/>
          </reference>
        </references>
      </pivotArea>
    </chartFormat>
    <chartFormat chart="8" format="39">
      <pivotArea type="data" outline="0" fieldPosition="0">
        <references count="2">
          <reference field="4294967294" count="1" selected="0">
            <x v="1"/>
          </reference>
          <reference field="4" count="1" selected="0">
            <x v="5"/>
          </reference>
        </references>
      </pivotArea>
    </chartFormat>
    <chartFormat chart="8" format="40" series="1">
      <pivotArea type="data" outline="0" fieldPosition="0">
        <references count="1">
          <reference field="4294967294" count="1" selected="0">
            <x v="2"/>
          </reference>
        </references>
      </pivotArea>
    </chartFormat>
    <chartFormat chart="8" format="41">
      <pivotArea type="data" outline="0" fieldPosition="0">
        <references count="2">
          <reference field="4294967294" count="1" selected="0">
            <x v="2"/>
          </reference>
          <reference field="4" count="1" selected="0">
            <x v="13"/>
          </reference>
        </references>
      </pivotArea>
    </chartFormat>
    <chartFormat chart="8" format="42">
      <pivotArea type="data" outline="0" fieldPosition="0">
        <references count="2">
          <reference field="4294967294" count="1" selected="0">
            <x v="2"/>
          </reference>
          <reference field="4" count="1" selected="0">
            <x v="2"/>
          </reference>
        </references>
      </pivotArea>
    </chartFormat>
    <chartFormat chart="8" format="43">
      <pivotArea type="data" outline="0" fieldPosition="0">
        <references count="2">
          <reference field="4294967294" count="1" selected="0">
            <x v="2"/>
          </reference>
          <reference field="4" count="1" selected="0">
            <x v="7"/>
          </reference>
        </references>
      </pivotArea>
    </chartFormat>
    <chartFormat chart="8" format="44">
      <pivotArea type="data" outline="0" fieldPosition="0">
        <references count="2">
          <reference field="4294967294" count="1" selected="0">
            <x v="2"/>
          </reference>
          <reference field="4" count="1" selected="0">
            <x v="8"/>
          </reference>
        </references>
      </pivotArea>
    </chartFormat>
    <chartFormat chart="8" format="45">
      <pivotArea type="data" outline="0" fieldPosition="0">
        <references count="2">
          <reference field="4294967294" count="1" selected="0">
            <x v="2"/>
          </reference>
          <reference field="4" count="1" selected="0">
            <x v="5"/>
          </reference>
        </references>
      </pivotArea>
    </chartFormat>
    <chartFormat chart="8" format="46" series="1">
      <pivotArea type="data" outline="0" fieldPosition="0">
        <references count="1">
          <reference field="4294967294" count="1" selected="0">
            <x v="3"/>
          </reference>
        </references>
      </pivotArea>
    </chartFormat>
    <chartFormat chart="8" format="47">
      <pivotArea type="data" outline="0" fieldPosition="0">
        <references count="2">
          <reference field="4294967294" count="1" selected="0">
            <x v="3"/>
          </reference>
          <reference field="4" count="1" selected="0">
            <x v="13"/>
          </reference>
        </references>
      </pivotArea>
    </chartFormat>
    <chartFormat chart="8" format="48">
      <pivotArea type="data" outline="0" fieldPosition="0">
        <references count="2">
          <reference field="4294967294" count="1" selected="0">
            <x v="3"/>
          </reference>
          <reference field="4" count="1" selected="0">
            <x v="2"/>
          </reference>
        </references>
      </pivotArea>
    </chartFormat>
    <chartFormat chart="8" format="49">
      <pivotArea type="data" outline="0" fieldPosition="0">
        <references count="2">
          <reference field="4294967294" count="1" selected="0">
            <x v="3"/>
          </reference>
          <reference field="4" count="1" selected="0">
            <x v="7"/>
          </reference>
        </references>
      </pivotArea>
    </chartFormat>
    <chartFormat chart="8" format="50">
      <pivotArea type="data" outline="0" fieldPosition="0">
        <references count="2">
          <reference field="4294967294" count="1" selected="0">
            <x v="3"/>
          </reference>
          <reference field="4" count="1" selected="0">
            <x v="8"/>
          </reference>
        </references>
      </pivotArea>
    </chartFormat>
    <chartFormat chart="8" format="51">
      <pivotArea type="data" outline="0" fieldPosition="0">
        <references count="2">
          <reference field="4294967294" count="1" selected="0">
            <x v="3"/>
          </reference>
          <reference field="4" count="1" selected="0">
            <x v="5"/>
          </reference>
        </references>
      </pivotArea>
    </chartFormat>
    <chartFormat chart="8" format="52">
      <pivotArea type="data" outline="0" fieldPosition="0">
        <references count="2">
          <reference field="4294967294" count="1" selected="0">
            <x v="0"/>
          </reference>
          <reference field="4" count="1" selected="0">
            <x v="3"/>
          </reference>
        </references>
      </pivotArea>
    </chartFormat>
    <chartFormat chart="8" format="53">
      <pivotArea type="data" outline="0" fieldPosition="0">
        <references count="2">
          <reference field="4294967294" count="1" selected="0">
            <x v="0"/>
          </reference>
          <reference field="4" count="1" selected="0">
            <x v="1"/>
          </reference>
        </references>
      </pivotArea>
    </chartFormat>
    <chartFormat chart="8" format="54">
      <pivotArea type="data" outline="0" fieldPosition="0">
        <references count="2">
          <reference field="4294967294" count="1" selected="0">
            <x v="0"/>
          </reference>
          <reference field="4" count="1" selected="0">
            <x v="0"/>
          </reference>
        </references>
      </pivotArea>
    </chartFormat>
    <chartFormat chart="8" format="55">
      <pivotArea type="data" outline="0" fieldPosition="0">
        <references count="2">
          <reference field="4294967294" count="1" selected="0">
            <x v="1"/>
          </reference>
          <reference field="4" count="1" selected="0">
            <x v="3"/>
          </reference>
        </references>
      </pivotArea>
    </chartFormat>
    <chartFormat chart="8" format="56">
      <pivotArea type="data" outline="0" fieldPosition="0">
        <references count="2">
          <reference field="4294967294" count="1" selected="0">
            <x v="1"/>
          </reference>
          <reference field="4" count="1" selected="0">
            <x v="1"/>
          </reference>
        </references>
      </pivotArea>
    </chartFormat>
    <chartFormat chart="8" format="57">
      <pivotArea type="data" outline="0" fieldPosition="0">
        <references count="2">
          <reference field="4294967294" count="1" selected="0">
            <x v="1"/>
          </reference>
          <reference field="4" count="1" selected="0">
            <x v="0"/>
          </reference>
        </references>
      </pivotArea>
    </chartFormat>
    <chartFormat chart="8" format="58">
      <pivotArea type="data" outline="0" fieldPosition="0">
        <references count="2">
          <reference field="4294967294" count="1" selected="0">
            <x v="2"/>
          </reference>
          <reference field="4" count="1" selected="0">
            <x v="3"/>
          </reference>
        </references>
      </pivotArea>
    </chartFormat>
    <chartFormat chart="8" format="59">
      <pivotArea type="data" outline="0" fieldPosition="0">
        <references count="2">
          <reference field="4294967294" count="1" selected="0">
            <x v="2"/>
          </reference>
          <reference field="4" count="1" selected="0">
            <x v="1"/>
          </reference>
        </references>
      </pivotArea>
    </chartFormat>
    <chartFormat chart="8" format="60">
      <pivotArea type="data" outline="0" fieldPosition="0">
        <references count="2">
          <reference field="4294967294" count="1" selected="0">
            <x v="2"/>
          </reference>
          <reference field="4" count="1" selected="0">
            <x v="0"/>
          </reference>
        </references>
      </pivotArea>
    </chartFormat>
    <chartFormat chart="8" format="61">
      <pivotArea type="data" outline="0" fieldPosition="0">
        <references count="2">
          <reference field="4294967294" count="1" selected="0">
            <x v="3"/>
          </reference>
          <reference field="4" count="1" selected="0">
            <x v="3"/>
          </reference>
        </references>
      </pivotArea>
    </chartFormat>
    <chartFormat chart="8" format="62">
      <pivotArea type="data" outline="0" fieldPosition="0">
        <references count="2">
          <reference field="4294967294" count="1" selected="0">
            <x v="3"/>
          </reference>
          <reference field="4" count="1" selected="0">
            <x v="1"/>
          </reference>
        </references>
      </pivotArea>
    </chartFormat>
    <chartFormat chart="8" format="63">
      <pivotArea type="data" outline="0" fieldPosition="0">
        <references count="2">
          <reference field="4294967294" count="1" selected="0">
            <x v="3"/>
          </reference>
          <reference field="4" count="1" selected="0">
            <x v="0"/>
          </reference>
        </references>
      </pivotArea>
    </chartFormat>
    <chartFormat chart="6" format="4">
      <pivotArea type="data" outline="0" fieldPosition="0">
        <references count="2">
          <reference field="4294967294" count="1" selected="0">
            <x v="0"/>
          </reference>
          <reference field="4" count="1" selected="0">
            <x v="13"/>
          </reference>
        </references>
      </pivotArea>
    </chartFormat>
    <chartFormat chart="6" format="5">
      <pivotArea type="data" outline="0" fieldPosition="0">
        <references count="2">
          <reference field="4294967294" count="1" selected="0">
            <x v="0"/>
          </reference>
          <reference field="4" count="1" selected="0">
            <x v="2"/>
          </reference>
        </references>
      </pivotArea>
    </chartFormat>
    <chartFormat chart="6" format="6">
      <pivotArea type="data" outline="0" fieldPosition="0">
        <references count="2">
          <reference field="4294967294" count="1" selected="0">
            <x v="0"/>
          </reference>
          <reference field="4" count="1" selected="0">
            <x v="7"/>
          </reference>
        </references>
      </pivotArea>
    </chartFormat>
    <chartFormat chart="6" format="7">
      <pivotArea type="data" outline="0" fieldPosition="0">
        <references count="2">
          <reference field="4294967294" count="1" selected="0">
            <x v="0"/>
          </reference>
          <reference field="4" count="1" selected="0">
            <x v="8"/>
          </reference>
        </references>
      </pivotArea>
    </chartFormat>
    <chartFormat chart="6" format="8">
      <pivotArea type="data" outline="0" fieldPosition="0">
        <references count="2">
          <reference field="4294967294" count="1" selected="0">
            <x v="0"/>
          </reference>
          <reference field="4" count="1" selected="0">
            <x v="5"/>
          </reference>
        </references>
      </pivotArea>
    </chartFormat>
    <chartFormat chart="6" format="9">
      <pivotArea type="data" outline="0" fieldPosition="0">
        <references count="2">
          <reference field="4294967294" count="1" selected="0">
            <x v="1"/>
          </reference>
          <reference field="4" count="1" selected="0">
            <x v="13"/>
          </reference>
        </references>
      </pivotArea>
    </chartFormat>
    <chartFormat chart="6" format="10">
      <pivotArea type="data" outline="0" fieldPosition="0">
        <references count="2">
          <reference field="4294967294" count="1" selected="0">
            <x v="1"/>
          </reference>
          <reference field="4" count="1" selected="0">
            <x v="2"/>
          </reference>
        </references>
      </pivotArea>
    </chartFormat>
    <chartFormat chart="6" format="11">
      <pivotArea type="data" outline="0" fieldPosition="0">
        <references count="2">
          <reference field="4294967294" count="1" selected="0">
            <x v="1"/>
          </reference>
          <reference field="4" count="1" selected="0">
            <x v="7"/>
          </reference>
        </references>
      </pivotArea>
    </chartFormat>
    <chartFormat chart="6" format="12">
      <pivotArea type="data" outline="0" fieldPosition="0">
        <references count="2">
          <reference field="4294967294" count="1" selected="0">
            <x v="1"/>
          </reference>
          <reference field="4" count="1" selected="0">
            <x v="8"/>
          </reference>
        </references>
      </pivotArea>
    </chartFormat>
    <chartFormat chart="6" format="13">
      <pivotArea type="data" outline="0" fieldPosition="0">
        <references count="2">
          <reference field="4294967294" count="1" selected="0">
            <x v="1"/>
          </reference>
          <reference field="4" count="1" selected="0">
            <x v="5"/>
          </reference>
        </references>
      </pivotArea>
    </chartFormat>
    <chartFormat chart="6" format="14">
      <pivotArea type="data" outline="0" fieldPosition="0">
        <references count="2">
          <reference field="4294967294" count="1" selected="0">
            <x v="2"/>
          </reference>
          <reference field="4" count="1" selected="0">
            <x v="13"/>
          </reference>
        </references>
      </pivotArea>
    </chartFormat>
    <chartFormat chart="6" format="15">
      <pivotArea type="data" outline="0" fieldPosition="0">
        <references count="2">
          <reference field="4294967294" count="1" selected="0">
            <x v="2"/>
          </reference>
          <reference field="4" count="1" selected="0">
            <x v="2"/>
          </reference>
        </references>
      </pivotArea>
    </chartFormat>
    <chartFormat chart="6" format="16">
      <pivotArea type="data" outline="0" fieldPosition="0">
        <references count="2">
          <reference field="4294967294" count="1" selected="0">
            <x v="2"/>
          </reference>
          <reference field="4" count="1" selected="0">
            <x v="7"/>
          </reference>
        </references>
      </pivotArea>
    </chartFormat>
    <chartFormat chart="6" format="17">
      <pivotArea type="data" outline="0" fieldPosition="0">
        <references count="2">
          <reference field="4294967294" count="1" selected="0">
            <x v="2"/>
          </reference>
          <reference field="4" count="1" selected="0">
            <x v="8"/>
          </reference>
        </references>
      </pivotArea>
    </chartFormat>
    <chartFormat chart="6" format="18">
      <pivotArea type="data" outline="0" fieldPosition="0">
        <references count="2">
          <reference field="4294967294" count="1" selected="0">
            <x v="2"/>
          </reference>
          <reference field="4" count="1" selected="0">
            <x v="5"/>
          </reference>
        </references>
      </pivotArea>
    </chartFormat>
    <chartFormat chart="6" format="19">
      <pivotArea type="data" outline="0" fieldPosition="0">
        <references count="2">
          <reference field="4294967294" count="1" selected="0">
            <x v="3"/>
          </reference>
          <reference field="4" count="1" selected="0">
            <x v="13"/>
          </reference>
        </references>
      </pivotArea>
    </chartFormat>
    <chartFormat chart="6" format="20">
      <pivotArea type="data" outline="0" fieldPosition="0">
        <references count="2">
          <reference field="4294967294" count="1" selected="0">
            <x v="3"/>
          </reference>
          <reference field="4" count="1" selected="0">
            <x v="2"/>
          </reference>
        </references>
      </pivotArea>
    </chartFormat>
    <chartFormat chart="6" format="21">
      <pivotArea type="data" outline="0" fieldPosition="0">
        <references count="2">
          <reference field="4294967294" count="1" selected="0">
            <x v="3"/>
          </reference>
          <reference field="4" count="1" selected="0">
            <x v="7"/>
          </reference>
        </references>
      </pivotArea>
    </chartFormat>
    <chartFormat chart="6" format="22">
      <pivotArea type="data" outline="0" fieldPosition="0">
        <references count="2">
          <reference field="4294967294" count="1" selected="0">
            <x v="3"/>
          </reference>
          <reference field="4" count="1" selected="0">
            <x v="8"/>
          </reference>
        </references>
      </pivotArea>
    </chartFormat>
    <chartFormat chart="6" format="23">
      <pivotArea type="data" outline="0" fieldPosition="0">
        <references count="2">
          <reference field="4294967294" count="1" selected="0">
            <x v="3"/>
          </reference>
          <reference field="4" count="1" selected="0">
            <x v="5"/>
          </reference>
        </references>
      </pivotArea>
    </chartFormat>
    <chartFormat chart="6" format="24">
      <pivotArea type="data" outline="0" fieldPosition="0">
        <references count="2">
          <reference field="4294967294" count="1" selected="0">
            <x v="0"/>
          </reference>
          <reference field="4" count="1" selected="0">
            <x v="21"/>
          </reference>
        </references>
      </pivotArea>
    </chartFormat>
    <chartFormat chart="6" format="25">
      <pivotArea type="data" outline="0" fieldPosition="0">
        <references count="2">
          <reference field="4294967294" count="1" selected="0">
            <x v="0"/>
          </reference>
          <reference field="4" count="1" selected="0">
            <x v="22"/>
          </reference>
        </references>
      </pivotArea>
    </chartFormat>
    <chartFormat chart="6" format="26">
      <pivotArea type="data" outline="0" fieldPosition="0">
        <references count="2">
          <reference field="4294967294" count="1" selected="0">
            <x v="0"/>
          </reference>
          <reference field="4" count="1" selected="0">
            <x v="11"/>
          </reference>
        </references>
      </pivotArea>
    </chartFormat>
    <chartFormat chart="6" format="27">
      <pivotArea type="data" outline="0" fieldPosition="0">
        <references count="2">
          <reference field="4294967294" count="1" selected="0">
            <x v="1"/>
          </reference>
          <reference field="4" count="1" selected="0">
            <x v="21"/>
          </reference>
        </references>
      </pivotArea>
    </chartFormat>
    <chartFormat chart="6" format="28">
      <pivotArea type="data" outline="0" fieldPosition="0">
        <references count="2">
          <reference field="4294967294" count="1" selected="0">
            <x v="1"/>
          </reference>
          <reference field="4" count="1" selected="0">
            <x v="22"/>
          </reference>
        </references>
      </pivotArea>
    </chartFormat>
    <chartFormat chart="6" format="29">
      <pivotArea type="data" outline="0" fieldPosition="0">
        <references count="2">
          <reference field="4294967294" count="1" selected="0">
            <x v="1"/>
          </reference>
          <reference field="4" count="1" selected="0">
            <x v="11"/>
          </reference>
        </references>
      </pivotArea>
    </chartFormat>
    <chartFormat chart="6" format="30">
      <pivotArea type="data" outline="0" fieldPosition="0">
        <references count="2">
          <reference field="4294967294" count="1" selected="0">
            <x v="2"/>
          </reference>
          <reference field="4" count="1" selected="0">
            <x v="21"/>
          </reference>
        </references>
      </pivotArea>
    </chartFormat>
    <chartFormat chart="6" format="31">
      <pivotArea type="data" outline="0" fieldPosition="0">
        <references count="2">
          <reference field="4294967294" count="1" selected="0">
            <x v="2"/>
          </reference>
          <reference field="4" count="1" selected="0">
            <x v="22"/>
          </reference>
        </references>
      </pivotArea>
    </chartFormat>
    <chartFormat chart="6" format="32">
      <pivotArea type="data" outline="0" fieldPosition="0">
        <references count="2">
          <reference field="4294967294" count="1" selected="0">
            <x v="2"/>
          </reference>
          <reference field="4" count="1" selected="0">
            <x v="11"/>
          </reference>
        </references>
      </pivotArea>
    </chartFormat>
    <chartFormat chart="6" format="33">
      <pivotArea type="data" outline="0" fieldPosition="0">
        <references count="2">
          <reference field="4294967294" count="1" selected="0">
            <x v="3"/>
          </reference>
          <reference field="4" count="1" selected="0">
            <x v="21"/>
          </reference>
        </references>
      </pivotArea>
    </chartFormat>
    <chartFormat chart="6" format="34">
      <pivotArea type="data" outline="0" fieldPosition="0">
        <references count="2">
          <reference field="4294967294" count="1" selected="0">
            <x v="3"/>
          </reference>
          <reference field="4" count="1" selected="0">
            <x v="22"/>
          </reference>
        </references>
      </pivotArea>
    </chartFormat>
    <chartFormat chart="6" format="35">
      <pivotArea type="data" outline="0" fieldPosition="0">
        <references count="2">
          <reference field="4294967294" count="1" selected="0">
            <x v="3"/>
          </reference>
          <reference field="4" count="1" selected="0">
            <x v="11"/>
          </reference>
        </references>
      </pivotArea>
    </chartFormat>
    <chartFormat chart="8" format="64">
      <pivotArea type="data" outline="0" fieldPosition="0">
        <references count="2">
          <reference field="4294967294" count="1" selected="0">
            <x v="0"/>
          </reference>
          <reference field="4" count="1" selected="0">
            <x v="16"/>
          </reference>
        </references>
      </pivotArea>
    </chartFormat>
    <chartFormat chart="8" format="65">
      <pivotArea type="data" outline="0" fieldPosition="0">
        <references count="2">
          <reference field="4294967294" count="1" selected="0">
            <x v="1"/>
          </reference>
          <reference field="4" count="1" selected="0">
            <x v="16"/>
          </reference>
        </references>
      </pivotArea>
    </chartFormat>
    <chartFormat chart="8" format="66">
      <pivotArea type="data" outline="0" fieldPosition="0">
        <references count="2">
          <reference field="4294967294" count="1" selected="0">
            <x v="2"/>
          </reference>
          <reference field="4" count="1" selected="0">
            <x v="16"/>
          </reference>
        </references>
      </pivotArea>
    </chartFormat>
    <chartFormat chart="8" format="67">
      <pivotArea type="data" outline="0" fieldPosition="0">
        <references count="2">
          <reference field="4294967294" count="1" selected="0">
            <x v="3"/>
          </reference>
          <reference field="4" count="1" selected="0">
            <x v="16"/>
          </reference>
        </references>
      </pivotArea>
    </chartFormat>
    <chartFormat chart="6" format="36">
      <pivotArea type="data" outline="0" fieldPosition="0">
        <references count="2">
          <reference field="4294967294" count="1" selected="0">
            <x v="0"/>
          </reference>
          <reference field="4" count="1" selected="0">
            <x v="16"/>
          </reference>
        </references>
      </pivotArea>
    </chartFormat>
    <chartFormat chart="6" format="37">
      <pivotArea type="data" outline="0" fieldPosition="0">
        <references count="2">
          <reference field="4294967294" count="1" selected="0">
            <x v="1"/>
          </reference>
          <reference field="4" count="1" selected="0">
            <x v="16"/>
          </reference>
        </references>
      </pivotArea>
    </chartFormat>
    <chartFormat chart="6" format="38">
      <pivotArea type="data" outline="0" fieldPosition="0">
        <references count="2">
          <reference field="4294967294" count="1" selected="0">
            <x v="2"/>
          </reference>
          <reference field="4" count="1" selected="0">
            <x v="16"/>
          </reference>
        </references>
      </pivotArea>
    </chartFormat>
    <chartFormat chart="6" format="39">
      <pivotArea type="data" outline="0" fieldPosition="0">
        <references count="2">
          <reference field="4294967294" count="1" selected="0">
            <x v="3"/>
          </reference>
          <reference field="4" count="1" selected="0">
            <x v="16"/>
          </reference>
        </references>
      </pivotArea>
    </chartFormat>
    <chartFormat chart="6" format="40">
      <pivotArea type="data" outline="0" fieldPosition="0">
        <references count="2">
          <reference field="4294967294" count="1" selected="0">
            <x v="0"/>
          </reference>
          <reference field="4" count="1" selected="0">
            <x v="20"/>
          </reference>
        </references>
      </pivotArea>
    </chartFormat>
    <chartFormat chart="6" format="41">
      <pivotArea type="data" outline="0" fieldPosition="0">
        <references count="2">
          <reference field="4294967294" count="1" selected="0">
            <x v="0"/>
          </reference>
          <reference field="4" count="1" selected="0">
            <x v="1"/>
          </reference>
        </references>
      </pivotArea>
    </chartFormat>
    <chartFormat chart="6" format="42">
      <pivotArea type="data" outline="0" fieldPosition="0">
        <references count="2">
          <reference field="4294967294" count="1" selected="0">
            <x v="0"/>
          </reference>
          <reference field="4" count="1" selected="0">
            <x v="19"/>
          </reference>
        </references>
      </pivotArea>
    </chartFormat>
    <chartFormat chart="6" format="43">
      <pivotArea type="data" outline="0" fieldPosition="0">
        <references count="2">
          <reference field="4294967294" count="1" selected="0">
            <x v="1"/>
          </reference>
          <reference field="4" count="1" selected="0">
            <x v="20"/>
          </reference>
        </references>
      </pivotArea>
    </chartFormat>
    <chartFormat chart="6" format="44">
      <pivotArea type="data" outline="0" fieldPosition="0">
        <references count="2">
          <reference field="4294967294" count="1" selected="0">
            <x v="1"/>
          </reference>
          <reference field="4" count="1" selected="0">
            <x v="1"/>
          </reference>
        </references>
      </pivotArea>
    </chartFormat>
    <chartFormat chart="6" format="45">
      <pivotArea type="data" outline="0" fieldPosition="0">
        <references count="2">
          <reference field="4294967294" count="1" selected="0">
            <x v="1"/>
          </reference>
          <reference field="4" count="1" selected="0">
            <x v="19"/>
          </reference>
        </references>
      </pivotArea>
    </chartFormat>
    <chartFormat chart="6" format="46">
      <pivotArea type="data" outline="0" fieldPosition="0">
        <references count="2">
          <reference field="4294967294" count="1" selected="0">
            <x v="2"/>
          </reference>
          <reference field="4" count="1" selected="0">
            <x v="20"/>
          </reference>
        </references>
      </pivotArea>
    </chartFormat>
    <chartFormat chart="6" format="47">
      <pivotArea type="data" outline="0" fieldPosition="0">
        <references count="2">
          <reference field="4294967294" count="1" selected="0">
            <x v="2"/>
          </reference>
          <reference field="4" count="1" selected="0">
            <x v="1"/>
          </reference>
        </references>
      </pivotArea>
    </chartFormat>
    <chartFormat chart="6" format="48">
      <pivotArea type="data" outline="0" fieldPosition="0">
        <references count="2">
          <reference field="4294967294" count="1" selected="0">
            <x v="2"/>
          </reference>
          <reference field="4" count="1" selected="0">
            <x v="19"/>
          </reference>
        </references>
      </pivotArea>
    </chartFormat>
    <chartFormat chart="6" format="49">
      <pivotArea type="data" outline="0" fieldPosition="0">
        <references count="2">
          <reference field="4294967294" count="1" selected="0">
            <x v="3"/>
          </reference>
          <reference field="4" count="1" selected="0">
            <x v="20"/>
          </reference>
        </references>
      </pivotArea>
    </chartFormat>
    <chartFormat chart="6" format="50">
      <pivotArea type="data" outline="0" fieldPosition="0">
        <references count="2">
          <reference field="4294967294" count="1" selected="0">
            <x v="3"/>
          </reference>
          <reference field="4" count="1" selected="0">
            <x v="1"/>
          </reference>
        </references>
      </pivotArea>
    </chartFormat>
    <chartFormat chart="6" format="51">
      <pivotArea type="data" outline="0" fieldPosition="0">
        <references count="2">
          <reference field="4294967294" count="1" selected="0">
            <x v="3"/>
          </reference>
          <reference field="4" count="1" selected="0">
            <x v="19"/>
          </reference>
        </references>
      </pivotArea>
    </chartFormat>
    <chartFormat chart="6" format="52">
      <pivotArea type="data" outline="0" fieldPosition="0">
        <references count="2">
          <reference field="4294967294" count="1" selected="0">
            <x v="0"/>
          </reference>
          <reference field="4" count="1" selected="0">
            <x v="15"/>
          </reference>
        </references>
      </pivotArea>
    </chartFormat>
    <chartFormat chart="6" format="53">
      <pivotArea type="data" outline="0" fieldPosition="0">
        <references count="2">
          <reference field="4294967294" count="1" selected="0">
            <x v="1"/>
          </reference>
          <reference field="4" count="1" selected="0">
            <x v="15"/>
          </reference>
        </references>
      </pivotArea>
    </chartFormat>
    <chartFormat chart="6" format="54">
      <pivotArea type="data" outline="0" fieldPosition="0">
        <references count="2">
          <reference field="4294967294" count="1" selected="0">
            <x v="2"/>
          </reference>
          <reference field="4" count="1" selected="0">
            <x v="15"/>
          </reference>
        </references>
      </pivotArea>
    </chartFormat>
    <chartFormat chart="6" format="55">
      <pivotArea type="data" outline="0" fieldPosition="0">
        <references count="2">
          <reference field="4294967294" count="1" selected="0">
            <x v="3"/>
          </reference>
          <reference field="4" count="1" selected="0">
            <x v="15"/>
          </reference>
        </references>
      </pivotArea>
    </chartFormat>
    <chartFormat chart="8" format="68">
      <pivotArea type="data" outline="0" fieldPosition="0">
        <references count="2">
          <reference field="4294967294" count="1" selected="0">
            <x v="0"/>
          </reference>
          <reference field="4" count="1" selected="0">
            <x v="23"/>
          </reference>
        </references>
      </pivotArea>
    </chartFormat>
    <chartFormat chart="8" format="69">
      <pivotArea type="data" outline="0" fieldPosition="0">
        <references count="2">
          <reference field="4294967294" count="1" selected="0">
            <x v="0"/>
          </reference>
          <reference field="4" count="1" selected="0">
            <x v="14"/>
          </reference>
        </references>
      </pivotArea>
    </chartFormat>
    <chartFormat chart="8" format="70">
      <pivotArea type="data" outline="0" fieldPosition="0">
        <references count="2">
          <reference field="4294967294" count="1" selected="0">
            <x v="0"/>
          </reference>
          <reference field="4" count="1" selected="0">
            <x v="20"/>
          </reference>
        </references>
      </pivotArea>
    </chartFormat>
    <chartFormat chart="8" format="71">
      <pivotArea type="data" outline="0" fieldPosition="0">
        <references count="2">
          <reference field="4294967294" count="1" selected="0">
            <x v="1"/>
          </reference>
          <reference field="4" count="1" selected="0">
            <x v="23"/>
          </reference>
        </references>
      </pivotArea>
    </chartFormat>
    <chartFormat chart="8" format="72">
      <pivotArea type="data" outline="0" fieldPosition="0">
        <references count="2">
          <reference field="4294967294" count="1" selected="0">
            <x v="1"/>
          </reference>
          <reference field="4" count="1" selected="0">
            <x v="14"/>
          </reference>
        </references>
      </pivotArea>
    </chartFormat>
    <chartFormat chart="8" format="73">
      <pivotArea type="data" outline="0" fieldPosition="0">
        <references count="2">
          <reference field="4294967294" count="1" selected="0">
            <x v="1"/>
          </reference>
          <reference field="4" count="1" selected="0">
            <x v="20"/>
          </reference>
        </references>
      </pivotArea>
    </chartFormat>
    <chartFormat chart="8" format="74">
      <pivotArea type="data" outline="0" fieldPosition="0">
        <references count="2">
          <reference field="4294967294" count="1" selected="0">
            <x v="2"/>
          </reference>
          <reference field="4" count="1" selected="0">
            <x v="23"/>
          </reference>
        </references>
      </pivotArea>
    </chartFormat>
    <chartFormat chart="8" format="75">
      <pivotArea type="data" outline="0" fieldPosition="0">
        <references count="2">
          <reference field="4294967294" count="1" selected="0">
            <x v="2"/>
          </reference>
          <reference field="4" count="1" selected="0">
            <x v="14"/>
          </reference>
        </references>
      </pivotArea>
    </chartFormat>
    <chartFormat chart="8" format="76">
      <pivotArea type="data" outline="0" fieldPosition="0">
        <references count="2">
          <reference field="4294967294" count="1" selected="0">
            <x v="2"/>
          </reference>
          <reference field="4" count="1" selected="0">
            <x v="20"/>
          </reference>
        </references>
      </pivotArea>
    </chartFormat>
    <chartFormat chart="8" format="77">
      <pivotArea type="data" outline="0" fieldPosition="0">
        <references count="2">
          <reference field="4294967294" count="1" selected="0">
            <x v="3"/>
          </reference>
          <reference field="4" count="1" selected="0">
            <x v="23"/>
          </reference>
        </references>
      </pivotArea>
    </chartFormat>
    <chartFormat chart="8" format="78">
      <pivotArea type="data" outline="0" fieldPosition="0">
        <references count="2">
          <reference field="4294967294" count="1" selected="0">
            <x v="3"/>
          </reference>
          <reference field="4" count="1" selected="0">
            <x v="14"/>
          </reference>
        </references>
      </pivotArea>
    </chartFormat>
    <chartFormat chart="8" format="79">
      <pivotArea type="data" outline="0" fieldPosition="0">
        <references count="2">
          <reference field="4294967294" count="1" selected="0">
            <x v="3"/>
          </reference>
          <reference field="4" count="1" selected="0">
            <x v="2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DAFF81-0096-4376-8E6D-DE0079177ADD}" name="Tren_Analisi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0">
  <location ref="A5:C18" firstHeaderRow="0" firstDataRow="1" firstDataCol="1" rowPageCount="1" colPageCount="1"/>
  <pivotFields count="12">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2">
        <item x="3"/>
        <item x="8"/>
        <item x="9"/>
        <item x="4"/>
        <item x="2"/>
        <item x="7"/>
        <item x="10"/>
        <item x="6"/>
        <item x="0"/>
        <item x="5"/>
        <item x="1"/>
        <item t="default"/>
      </items>
    </pivotField>
    <pivotField axis="axisPage" multipleItemSelectionAllowed="1" showAll="0">
      <items count="6">
        <item x="3"/>
        <item x="4"/>
        <item x="0"/>
        <item x="2"/>
        <item x="1"/>
        <item t="default"/>
      </items>
    </pivotField>
    <pivotField showAll="0"/>
    <pivotField dataField="1" showAll="0"/>
    <pivotField numFmtId="164" showAll="0"/>
    <pivotField dataField="1" numFmtId="164" showAll="0"/>
    <pivotField showAll="0">
      <items count="7">
        <item x="4"/>
        <item x="2"/>
        <item x="1"/>
        <item x="5"/>
        <item x="0"/>
        <item x="3"/>
        <item t="default"/>
      </items>
    </pivotField>
    <pivotField showAll="0">
      <items count="4">
        <item x="1"/>
        <item x="2"/>
        <item x="0"/>
        <item t="default"/>
      </items>
    </pivotField>
    <pivotField axis="axisRow" showAll="0">
      <items count="25">
        <item m="1" x="16"/>
        <item m="1" x="13"/>
        <item m="1" x="17"/>
        <item m="1" x="22"/>
        <item m="1" x="12"/>
        <item m="1" x="14"/>
        <item m="1" x="15"/>
        <item m="1" x="18"/>
        <item m="1" x="19"/>
        <item m="1" x="20"/>
        <item m="1" x="21"/>
        <item m="1" x="2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s>
  <rowFields count="1">
    <field x="10"/>
  </rowFields>
  <rowItems count="13">
    <i>
      <x v="12"/>
    </i>
    <i>
      <x v="13"/>
    </i>
    <i>
      <x v="14"/>
    </i>
    <i>
      <x v="15"/>
    </i>
    <i>
      <x v="16"/>
    </i>
    <i>
      <x v="17"/>
    </i>
    <i>
      <x v="18"/>
    </i>
    <i>
      <x v="19"/>
    </i>
    <i>
      <x v="20"/>
    </i>
    <i>
      <x v="21"/>
    </i>
    <i>
      <x v="22"/>
    </i>
    <i>
      <x v="23"/>
    </i>
    <i t="grand">
      <x/>
    </i>
  </rowItems>
  <colFields count="1">
    <field x="-2"/>
  </colFields>
  <colItems count="2">
    <i>
      <x/>
    </i>
    <i i="1">
      <x v="1"/>
    </i>
  </colItems>
  <pageFields count="1">
    <pageField fld="3" hier="-1"/>
  </pageFields>
  <dataFields count="2">
    <dataField name="Sum of Total_Penjualan" fld="7" baseField="0" baseItem="0" numFmtId="169"/>
    <dataField name="Count of Jumlah" fld="5" subtotal="count" baseField="10" baseItem="12"/>
  </dataFields>
  <chartFormats count="10">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36"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1"/>
          </reference>
        </references>
      </pivotArea>
    </chartFormat>
    <chartFormat chart="43" format="4"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1"/>
          </reference>
        </references>
      </pivotArea>
    </chartFormat>
    <chartFormat chart="48" format="4" series="1">
      <pivotArea type="data" outline="0" fieldPosition="0">
        <references count="1">
          <reference field="4294967294" count="1" selected="0">
            <x v="0"/>
          </reference>
        </references>
      </pivotArea>
    </chartFormat>
    <chartFormat chart="48" format="5" series="1">
      <pivotArea type="data" outline="0" fieldPosition="0">
        <references count="1">
          <reference field="4294967294" count="1" selected="0">
            <x v="1"/>
          </reference>
        </references>
      </pivotArea>
    </chartFormat>
    <chartFormat chart="49" format="0" series="1">
      <pivotArea type="data" outline="0" fieldPosition="0">
        <references count="1">
          <reference field="4294967294" count="1" selected="0">
            <x v="0"/>
          </reference>
        </references>
      </pivotArea>
    </chartFormat>
    <chartFormat chart="49"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FF84A8-A4FF-485E-8BB9-080B18980BCF}" name="AOV_Pelangga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4" rowHeaderCaption="Segmen Pelanggan">
  <location ref="G106:H110" firstHeaderRow="1" firstDataRow="1" firstDataCol="1"/>
  <pivotFields count="12">
    <pivotField showAll="0"/>
    <pivotField numFmtId="165" showAll="0"/>
    <pivotField showAll="0">
      <items count="12">
        <item x="3"/>
        <item x="8"/>
        <item x="9"/>
        <item x="4"/>
        <item x="2"/>
        <item x="7"/>
        <item x="10"/>
        <item x="6"/>
        <item x="0"/>
        <item x="5"/>
        <item x="1"/>
        <item t="default"/>
      </items>
    </pivotField>
    <pivotField showAll="0">
      <items count="6">
        <item x="3"/>
        <item x="4"/>
        <item x="0"/>
        <item x="2"/>
        <item x="1"/>
        <item t="default"/>
      </items>
    </pivotField>
    <pivotField showAll="0"/>
    <pivotField showAll="0"/>
    <pivotField numFmtId="164" showAll="0"/>
    <pivotField dataField="1" numFmtId="164" showAll="0"/>
    <pivotField showAll="0">
      <items count="7">
        <item x="4"/>
        <item x="2"/>
        <item x="1"/>
        <item x="5"/>
        <item x="0"/>
        <item x="3"/>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25">
        <item m="1" x="16"/>
        <item m="1" x="13"/>
        <item m="1" x="17"/>
        <item m="1" x="22"/>
        <item m="1" x="12"/>
        <item m="1" x="14"/>
        <item m="1" x="15"/>
        <item m="1" x="18"/>
        <item m="1" x="19"/>
        <item m="1" x="20"/>
        <item m="1" x="21"/>
        <item m="1" x="23"/>
        <item x="0"/>
        <item x="1"/>
        <item x="2"/>
        <item x="3"/>
        <item x="4"/>
        <item x="5"/>
        <item x="6"/>
        <item x="7"/>
        <item x="8"/>
        <item x="9"/>
        <item x="10"/>
        <item x="11"/>
        <item t="default"/>
      </items>
    </pivotField>
    <pivotField showAll="0" defaultSubtotal="0"/>
  </pivotFields>
  <rowFields count="1">
    <field x="9"/>
  </rowFields>
  <rowItems count="4">
    <i>
      <x v="2"/>
    </i>
    <i>
      <x/>
    </i>
    <i>
      <x v="1"/>
    </i>
    <i t="grand">
      <x/>
    </i>
  </rowItems>
  <colItems count="1">
    <i/>
  </colItems>
  <dataFields count="1">
    <dataField name="Rata-rata Penjualan" fld="7" subtotal="average" baseField="9" baseItem="1" numFmtId="169"/>
  </dataFields>
  <formats count="3">
    <format dxfId="4036">
      <pivotArea outline="0" collapsedLevelsAreSubtotals="1" fieldPosition="0"/>
    </format>
    <format dxfId="4035">
      <pivotArea dataOnly="0" labelOnly="1" outline="0" fieldPosition="0">
        <references count="1">
          <reference field="4294967294" count="1">
            <x v="0"/>
          </reference>
        </references>
      </pivotArea>
    </format>
    <format dxfId="4034">
      <pivotArea outline="0" fieldPosition="0">
        <references count="1">
          <reference field="4294967294" count="1">
            <x v="0"/>
          </reference>
        </references>
      </pivotArea>
    </format>
  </formats>
  <chartFormats count="3">
    <chartFormat chart="21"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7006F7-0D6D-48B1-842C-9E893455CE2A}" name="AOV_Wil_Kat"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263:E315" firstHeaderRow="0" firstDataRow="1" firstDataCol="2"/>
  <pivotFields count="12">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axis="axisRow" compact="0" outline="0" showAll="0" defaultSubtotal="0">
      <items count="11">
        <item x="3"/>
        <item x="8"/>
        <item x="9"/>
        <item x="4"/>
        <item x="2"/>
        <item x="7"/>
        <item x="10"/>
        <item x="6"/>
        <item x="0"/>
        <item x="5"/>
        <item x="1"/>
      </items>
      <extLst>
        <ext xmlns:x14="http://schemas.microsoft.com/office/spreadsheetml/2009/9/main" uri="{2946ED86-A175-432a-8AC1-64E0C546D7DE}">
          <x14:pivotField fillDownLabels="1"/>
        </ext>
      </extLst>
    </pivotField>
    <pivotField axis="axisRow" compact="0" outline="0" showAll="0" defaultSubtotal="0">
      <items count="5">
        <item x="3"/>
        <item x="4"/>
        <item x="0"/>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dataField="1"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2"/>
    <field x="3"/>
  </rowFields>
  <rowItems count="52">
    <i>
      <x/>
      <x/>
    </i>
    <i r="1">
      <x v="1"/>
    </i>
    <i r="1">
      <x v="2"/>
    </i>
    <i r="1">
      <x v="3"/>
    </i>
    <i r="1">
      <x v="4"/>
    </i>
    <i>
      <x v="1"/>
      <x/>
    </i>
    <i r="1">
      <x v="1"/>
    </i>
    <i r="1">
      <x v="2"/>
    </i>
    <i r="1">
      <x v="3"/>
    </i>
    <i r="1">
      <x v="4"/>
    </i>
    <i>
      <x v="2"/>
      <x/>
    </i>
    <i r="1">
      <x v="1"/>
    </i>
    <i r="1">
      <x v="2"/>
    </i>
    <i r="1">
      <x v="3"/>
    </i>
    <i r="1">
      <x v="4"/>
    </i>
    <i>
      <x v="3"/>
      <x/>
    </i>
    <i r="1">
      <x v="1"/>
    </i>
    <i r="1">
      <x v="2"/>
    </i>
    <i r="1">
      <x v="3"/>
    </i>
    <i r="1">
      <x v="4"/>
    </i>
    <i>
      <x v="4"/>
      <x/>
    </i>
    <i r="1">
      <x v="1"/>
    </i>
    <i r="1">
      <x v="2"/>
    </i>
    <i r="1">
      <x v="3"/>
    </i>
    <i r="1">
      <x v="4"/>
    </i>
    <i>
      <x v="5"/>
      <x/>
    </i>
    <i r="1">
      <x v="1"/>
    </i>
    <i r="1">
      <x v="2"/>
    </i>
    <i r="1">
      <x v="3"/>
    </i>
    <i r="1">
      <x v="4"/>
    </i>
    <i>
      <x v="6"/>
      <x v="3"/>
    </i>
    <i r="1">
      <x v="4"/>
    </i>
    <i>
      <x v="7"/>
      <x/>
    </i>
    <i r="1">
      <x v="1"/>
    </i>
    <i r="1">
      <x v="2"/>
    </i>
    <i r="1">
      <x v="3"/>
    </i>
    <i r="1">
      <x v="4"/>
    </i>
    <i>
      <x v="8"/>
      <x/>
    </i>
    <i r="1">
      <x v="1"/>
    </i>
    <i r="1">
      <x v="2"/>
    </i>
    <i r="1">
      <x v="3"/>
    </i>
    <i r="1">
      <x v="4"/>
    </i>
    <i>
      <x v="9"/>
      <x/>
    </i>
    <i r="1">
      <x v="1"/>
    </i>
    <i r="1">
      <x v="2"/>
    </i>
    <i r="1">
      <x v="3"/>
    </i>
    <i r="1">
      <x v="4"/>
    </i>
    <i>
      <x v="10"/>
      <x/>
    </i>
    <i r="1">
      <x v="1"/>
    </i>
    <i r="1">
      <x v="2"/>
    </i>
    <i r="1">
      <x v="3"/>
    </i>
    <i r="1">
      <x v="4"/>
    </i>
  </rowItems>
  <colFields count="1">
    <field x="-2"/>
  </colFields>
  <colItems count="3">
    <i>
      <x/>
    </i>
    <i i="1">
      <x v="1"/>
    </i>
    <i i="2">
      <x v="2"/>
    </i>
  </colItems>
  <dataFields count="3">
    <dataField name="AOV" fld="7" subtotal="average" baseField="3" baseItem="0" numFmtId="164"/>
    <dataField name="Total Transaksi" fld="7" subtotal="count" baseField="3" baseItem="0"/>
    <dataField name="Total Penjualan" fld="7" baseField="0" baseItem="0" numFmtId="164"/>
  </dataFields>
  <formats count="44">
    <format dxfId="4080">
      <pivotArea outline="0" collapsedLevelsAreSubtotals="1" fieldPosition="0"/>
    </format>
    <format dxfId="4079">
      <pivotArea field="3" type="button" dataOnly="0" labelOnly="1" outline="0" axis="axisRow" fieldPosition="1"/>
    </format>
    <format dxfId="4078">
      <pivotArea field="-2" type="button" dataOnly="0" labelOnly="1" outline="0" axis="axisCol" fieldPosition="0"/>
    </format>
    <format dxfId="4077">
      <pivotArea type="topRight" dataOnly="0" labelOnly="1" outline="0" fieldPosition="0"/>
    </format>
    <format dxfId="4076">
      <pivotArea dataOnly="0" labelOnly="1" fieldPosition="0">
        <references count="1">
          <reference field="3" count="0"/>
        </references>
      </pivotArea>
    </format>
    <format dxfId="4075">
      <pivotArea outline="0" fieldPosition="0">
        <references count="1">
          <reference field="4294967294" count="1">
            <x v="0"/>
          </reference>
        </references>
      </pivotArea>
    </format>
    <format dxfId="4074">
      <pivotArea outline="0" fieldPosition="0">
        <references count="1">
          <reference field="4294967294" count="1">
            <x v="2"/>
          </reference>
        </references>
      </pivotArea>
    </format>
    <format dxfId="4073">
      <pivotArea type="all" dataOnly="0" outline="0" fieldPosition="0"/>
    </format>
    <format dxfId="4072">
      <pivotArea outline="0" collapsedLevelsAreSubtotals="1" fieldPosition="0"/>
    </format>
    <format dxfId="4071">
      <pivotArea field="2" type="button" dataOnly="0" labelOnly="1" outline="0" axis="axisRow" fieldPosition="0"/>
    </format>
    <format dxfId="4070">
      <pivotArea field="3" type="button" dataOnly="0" labelOnly="1" outline="0" axis="axisRow" fieldPosition="1"/>
    </format>
    <format dxfId="4069">
      <pivotArea dataOnly="0" labelOnly="1" outline="0" fieldPosition="0">
        <references count="1">
          <reference field="2" count="0"/>
        </references>
      </pivotArea>
    </format>
    <format dxfId="4068">
      <pivotArea dataOnly="0" labelOnly="1" outline="0" fieldPosition="0">
        <references count="2">
          <reference field="2" count="1" selected="0">
            <x v="0"/>
          </reference>
          <reference field="3" count="0"/>
        </references>
      </pivotArea>
    </format>
    <format dxfId="4067">
      <pivotArea dataOnly="0" labelOnly="1" outline="0" fieldPosition="0">
        <references count="2">
          <reference field="2" count="1" selected="0">
            <x v="1"/>
          </reference>
          <reference field="3" count="0"/>
        </references>
      </pivotArea>
    </format>
    <format dxfId="4066">
      <pivotArea dataOnly="0" labelOnly="1" outline="0" fieldPosition="0">
        <references count="2">
          <reference field="2" count="1" selected="0">
            <x v="2"/>
          </reference>
          <reference field="3" count="0"/>
        </references>
      </pivotArea>
    </format>
    <format dxfId="4065">
      <pivotArea dataOnly="0" labelOnly="1" outline="0" fieldPosition="0">
        <references count="2">
          <reference field="2" count="1" selected="0">
            <x v="3"/>
          </reference>
          <reference field="3" count="0"/>
        </references>
      </pivotArea>
    </format>
    <format dxfId="4064">
      <pivotArea dataOnly="0" labelOnly="1" outline="0" fieldPosition="0">
        <references count="2">
          <reference field="2" count="1" selected="0">
            <x v="4"/>
          </reference>
          <reference field="3" count="0"/>
        </references>
      </pivotArea>
    </format>
    <format dxfId="4063">
      <pivotArea dataOnly="0" labelOnly="1" outline="0" fieldPosition="0">
        <references count="2">
          <reference field="2" count="1" selected="0">
            <x v="5"/>
          </reference>
          <reference field="3" count="0"/>
        </references>
      </pivotArea>
    </format>
    <format dxfId="4062">
      <pivotArea dataOnly="0" labelOnly="1" outline="0" fieldPosition="0">
        <references count="2">
          <reference field="2" count="1" selected="0">
            <x v="6"/>
          </reference>
          <reference field="3" count="2">
            <x v="3"/>
            <x v="4"/>
          </reference>
        </references>
      </pivotArea>
    </format>
    <format dxfId="4061">
      <pivotArea dataOnly="0" labelOnly="1" outline="0" fieldPosition="0">
        <references count="2">
          <reference field="2" count="1" selected="0">
            <x v="7"/>
          </reference>
          <reference field="3" count="0"/>
        </references>
      </pivotArea>
    </format>
    <format dxfId="4060">
      <pivotArea dataOnly="0" labelOnly="1" outline="0" fieldPosition="0">
        <references count="2">
          <reference field="2" count="1" selected="0">
            <x v="8"/>
          </reference>
          <reference field="3" count="0"/>
        </references>
      </pivotArea>
    </format>
    <format dxfId="4059">
      <pivotArea dataOnly="0" labelOnly="1" outline="0" fieldPosition="0">
        <references count="2">
          <reference field="2" count="1" selected="0">
            <x v="9"/>
          </reference>
          <reference field="3" count="0"/>
        </references>
      </pivotArea>
    </format>
    <format dxfId="4058">
      <pivotArea dataOnly="0" labelOnly="1" outline="0" fieldPosition="0">
        <references count="2">
          <reference field="2" count="1" selected="0">
            <x v="10"/>
          </reference>
          <reference field="3" count="0"/>
        </references>
      </pivotArea>
    </format>
    <format dxfId="4057">
      <pivotArea dataOnly="0" labelOnly="1" outline="0" fieldPosition="0">
        <references count="1">
          <reference field="4294967294" count="3">
            <x v="0"/>
            <x v="1"/>
            <x v="2"/>
          </reference>
        </references>
      </pivotArea>
    </format>
    <format dxfId="4056">
      <pivotArea type="all" dataOnly="0" outline="0" fieldPosition="0"/>
    </format>
    <format dxfId="4055">
      <pivotArea outline="0" collapsedLevelsAreSubtotals="1" fieldPosition="0"/>
    </format>
    <format dxfId="4054">
      <pivotArea field="2" type="button" dataOnly="0" labelOnly="1" outline="0" axis="axisRow" fieldPosition="0"/>
    </format>
    <format dxfId="4053">
      <pivotArea field="3" type="button" dataOnly="0" labelOnly="1" outline="0" axis="axisRow" fieldPosition="1"/>
    </format>
    <format dxfId="4052">
      <pivotArea dataOnly="0" labelOnly="1" outline="0" fieldPosition="0">
        <references count="1">
          <reference field="2" count="0"/>
        </references>
      </pivotArea>
    </format>
    <format dxfId="4051">
      <pivotArea dataOnly="0" labelOnly="1" outline="0" fieldPosition="0">
        <references count="2">
          <reference field="2" count="1" selected="0">
            <x v="0"/>
          </reference>
          <reference field="3" count="0"/>
        </references>
      </pivotArea>
    </format>
    <format dxfId="4050">
      <pivotArea dataOnly="0" labelOnly="1" outline="0" fieldPosition="0">
        <references count="2">
          <reference field="2" count="1" selected="0">
            <x v="1"/>
          </reference>
          <reference field="3" count="0"/>
        </references>
      </pivotArea>
    </format>
    <format dxfId="4049">
      <pivotArea dataOnly="0" labelOnly="1" outline="0" fieldPosition="0">
        <references count="2">
          <reference field="2" count="1" selected="0">
            <x v="2"/>
          </reference>
          <reference field="3" count="0"/>
        </references>
      </pivotArea>
    </format>
    <format dxfId="4048">
      <pivotArea dataOnly="0" labelOnly="1" outline="0" fieldPosition="0">
        <references count="2">
          <reference field="2" count="1" selected="0">
            <x v="3"/>
          </reference>
          <reference field="3" count="0"/>
        </references>
      </pivotArea>
    </format>
    <format dxfId="4047">
      <pivotArea dataOnly="0" labelOnly="1" outline="0" fieldPosition="0">
        <references count="2">
          <reference field="2" count="1" selected="0">
            <x v="4"/>
          </reference>
          <reference field="3" count="0"/>
        </references>
      </pivotArea>
    </format>
    <format dxfId="4046">
      <pivotArea dataOnly="0" labelOnly="1" outline="0" fieldPosition="0">
        <references count="2">
          <reference field="2" count="1" selected="0">
            <x v="5"/>
          </reference>
          <reference field="3" count="0"/>
        </references>
      </pivotArea>
    </format>
    <format dxfId="4045">
      <pivotArea dataOnly="0" labelOnly="1" outline="0" fieldPosition="0">
        <references count="2">
          <reference field="2" count="1" selected="0">
            <x v="6"/>
          </reference>
          <reference field="3" count="2">
            <x v="3"/>
            <x v="4"/>
          </reference>
        </references>
      </pivotArea>
    </format>
    <format dxfId="4044">
      <pivotArea dataOnly="0" labelOnly="1" outline="0" fieldPosition="0">
        <references count="2">
          <reference field="2" count="1" selected="0">
            <x v="7"/>
          </reference>
          <reference field="3" count="0"/>
        </references>
      </pivotArea>
    </format>
    <format dxfId="4043">
      <pivotArea dataOnly="0" labelOnly="1" outline="0" fieldPosition="0">
        <references count="2">
          <reference field="2" count="1" selected="0">
            <x v="8"/>
          </reference>
          <reference field="3" count="0"/>
        </references>
      </pivotArea>
    </format>
    <format dxfId="4042">
      <pivotArea dataOnly="0" labelOnly="1" outline="0" fieldPosition="0">
        <references count="2">
          <reference field="2" count="1" selected="0">
            <x v="9"/>
          </reference>
          <reference field="3" count="0"/>
        </references>
      </pivotArea>
    </format>
    <format dxfId="4041">
      <pivotArea dataOnly="0" labelOnly="1" outline="0" fieldPosition="0">
        <references count="2">
          <reference field="2" count="1" selected="0">
            <x v="10"/>
          </reference>
          <reference field="3" count="0"/>
        </references>
      </pivotArea>
    </format>
    <format dxfId="4040">
      <pivotArea dataOnly="0" labelOnly="1" outline="0" fieldPosition="0">
        <references count="1">
          <reference field="4294967294" count="3">
            <x v="0"/>
            <x v="1"/>
            <x v="2"/>
          </reference>
        </references>
      </pivotArea>
    </format>
    <format dxfId="4039">
      <pivotArea field="2" type="button" dataOnly="0" labelOnly="1" outline="0" axis="axisRow" fieldPosition="0"/>
    </format>
    <format dxfId="4038">
      <pivotArea field="3" type="button" dataOnly="0" labelOnly="1" outline="0" axis="axisRow" fieldPosition="1"/>
    </format>
    <format dxfId="4037">
      <pivotArea dataOnly="0" labelOnly="1" outline="0" fieldPosition="0">
        <references count="1">
          <reference field="4294967294" count="3">
            <x v="0"/>
            <x v="1"/>
            <x v="2"/>
          </reference>
        </references>
      </pivotArea>
    </format>
  </formats>
  <conditionalFormats count="1">
    <conditionalFormat priority="5">
      <pivotAreas count="1">
        <pivotArea type="data" outline="0" collapsedLevelsAreSubtotals="1" fieldPosition="0"/>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4E3D24-AD47-49E7-8328-56C1EA71364B}" name="Kontribusi_Wilayah"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rowHeaderCaption="Wilayah">
  <location ref="G33:H45" firstHeaderRow="1" firstDataRow="1" firstDataCol="1"/>
  <pivotFields count="12">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ascending">
      <items count="12">
        <item x="3"/>
        <item x="8"/>
        <item x="9"/>
        <item x="4"/>
        <item x="2"/>
        <item x="7"/>
        <item x="10"/>
        <item x="6"/>
        <item x="0"/>
        <item x="5"/>
        <item x="1"/>
        <item t="default"/>
      </items>
      <autoSortScope>
        <pivotArea dataOnly="0" outline="0" fieldPosition="0">
          <references count="1">
            <reference field="4294967294" count="1" selected="0">
              <x v="0"/>
            </reference>
          </references>
        </pivotArea>
      </autoSortScope>
    </pivotField>
    <pivotField showAll="0">
      <items count="6">
        <item x="3"/>
        <item x="4"/>
        <item x="0"/>
        <item x="2"/>
        <item x="1"/>
        <item t="default"/>
      </items>
    </pivotField>
    <pivotField showAll="0"/>
    <pivotField showAll="0"/>
    <pivotField numFmtId="164" showAll="0"/>
    <pivotField dataField="1" numFmtId="164" showAll="0"/>
    <pivotField showAll="0">
      <items count="7">
        <item x="4"/>
        <item x="2"/>
        <item x="1"/>
        <item x="5"/>
        <item x="0"/>
        <item x="3"/>
        <item t="default"/>
      </items>
    </pivotField>
    <pivotField showAll="0">
      <items count="4">
        <item x="1"/>
        <item x="2"/>
        <item x="0"/>
        <item t="default"/>
      </items>
    </pivotField>
    <pivotField showAll="0">
      <items count="25">
        <item m="1" x="16"/>
        <item m="1" x="13"/>
        <item m="1" x="17"/>
        <item m="1" x="22"/>
        <item m="1" x="12"/>
        <item m="1" x="14"/>
        <item m="1" x="15"/>
        <item m="1" x="18"/>
        <item m="1" x="19"/>
        <item m="1" x="20"/>
        <item m="1" x="21"/>
        <item m="1" x="23"/>
        <item x="0"/>
        <item x="1"/>
        <item x="2"/>
        <item x="3"/>
        <item x="4"/>
        <item x="5"/>
        <item x="6"/>
        <item x="7"/>
        <item x="8"/>
        <item x="9"/>
        <item x="10"/>
        <item x="1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2">
    <i>
      <x v="6"/>
    </i>
    <i>
      <x v="1"/>
    </i>
    <i>
      <x v="7"/>
    </i>
    <i>
      <x v="10"/>
    </i>
    <i>
      <x v="2"/>
    </i>
    <i>
      <x/>
    </i>
    <i>
      <x v="4"/>
    </i>
    <i>
      <x v="5"/>
    </i>
    <i>
      <x v="9"/>
    </i>
    <i>
      <x v="3"/>
    </i>
    <i>
      <x v="8"/>
    </i>
    <i t="grand">
      <x/>
    </i>
  </rowItems>
  <colItems count="1">
    <i/>
  </colItems>
  <dataFields count="1">
    <dataField name="Total Penjualan" fld="7" baseField="0" baseItem="0" numFmtId="169"/>
  </dataFields>
  <formats count="3">
    <format dxfId="4083">
      <pivotArea outline="0" collapsedLevelsAreSubtotals="1" fieldPosition="0"/>
    </format>
    <format dxfId="4082">
      <pivotArea dataOnly="0" labelOnly="1" outline="0" fieldPosition="0">
        <references count="1">
          <reference field="4294967294" count="1">
            <x v="0"/>
          </reference>
        </references>
      </pivotArea>
    </format>
    <format dxfId="4081">
      <pivotArea outline="0" fieldPosition="0">
        <references count="1">
          <reference field="4294967294" count="1">
            <x v="0"/>
          </reference>
        </references>
      </pivotArea>
    </format>
  </formats>
  <chartFormats count="14">
    <chartFormat chart="9" format="1"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2" count="1" selected="0">
            <x v="8"/>
          </reference>
        </references>
      </pivotArea>
    </chartFormat>
    <chartFormat chart="9" format="15">
      <pivotArea type="data" outline="0" fieldPosition="0">
        <references count="2">
          <reference field="4294967294" count="1" selected="0">
            <x v="0"/>
          </reference>
          <reference field="2" count="1" selected="0">
            <x v="3"/>
          </reference>
        </references>
      </pivotArea>
    </chartFormat>
    <chartFormat chart="9" format="16">
      <pivotArea type="data" outline="0" fieldPosition="0">
        <references count="2">
          <reference field="4294967294" count="1" selected="0">
            <x v="0"/>
          </reference>
          <reference field="2" count="1" selected="0">
            <x v="9"/>
          </reference>
        </references>
      </pivotArea>
    </chartFormat>
    <chartFormat chart="9" format="17">
      <pivotArea type="data" outline="0" fieldPosition="0">
        <references count="2">
          <reference field="4294967294" count="1" selected="0">
            <x v="0"/>
          </reference>
          <reference field="2" count="1" selected="0">
            <x v="5"/>
          </reference>
        </references>
      </pivotArea>
    </chartFormat>
    <chartFormat chart="9" format="18">
      <pivotArea type="data" outline="0" fieldPosition="0">
        <references count="2">
          <reference field="4294967294" count="1" selected="0">
            <x v="0"/>
          </reference>
          <reference field="2" count="1" selected="0">
            <x v="4"/>
          </reference>
        </references>
      </pivotArea>
    </chartFormat>
    <chartFormat chart="9" format="19">
      <pivotArea type="data" outline="0" fieldPosition="0">
        <references count="2">
          <reference field="4294967294" count="1" selected="0">
            <x v="0"/>
          </reference>
          <reference field="2" count="1" selected="0">
            <x v="0"/>
          </reference>
        </references>
      </pivotArea>
    </chartFormat>
    <chartFormat chart="9" format="20">
      <pivotArea type="data" outline="0" fieldPosition="0">
        <references count="2">
          <reference field="4294967294" count="1" selected="0">
            <x v="0"/>
          </reference>
          <reference field="2" count="1" selected="0">
            <x v="2"/>
          </reference>
        </references>
      </pivotArea>
    </chartFormat>
    <chartFormat chart="9" format="21">
      <pivotArea type="data" outline="0" fieldPosition="0">
        <references count="2">
          <reference field="4294967294" count="1" selected="0">
            <x v="0"/>
          </reference>
          <reference field="2" count="1" selected="0">
            <x v="10"/>
          </reference>
        </references>
      </pivotArea>
    </chartFormat>
    <chartFormat chart="9" format="22">
      <pivotArea type="data" outline="0" fieldPosition="0">
        <references count="2">
          <reference field="4294967294" count="1" selected="0">
            <x v="0"/>
          </reference>
          <reference field="2" count="1" selected="0">
            <x v="7"/>
          </reference>
        </references>
      </pivotArea>
    </chartFormat>
    <chartFormat chart="9" format="23">
      <pivotArea type="data" outline="0" fieldPosition="0">
        <references count="2">
          <reference field="4294967294" count="1" selected="0">
            <x v="0"/>
          </reference>
          <reference field="2" count="1" selected="0">
            <x v="1"/>
          </reference>
        </references>
      </pivotArea>
    </chartFormat>
    <chartFormat chart="9" format="24">
      <pivotArea type="data" outline="0" fieldPosition="0">
        <references count="2">
          <reference field="4294967294" count="1" selected="0">
            <x v="0"/>
          </reference>
          <reference field="2" count="1" selected="0">
            <x v="6"/>
          </reference>
        </references>
      </pivotArea>
    </chartFormat>
    <chartFormat chart="10" format="1"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E86BEE-2F55-481E-BE90-8D58A3012CC4}" name="AOV_Kategori"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Kategori">
  <location ref="E248:F254" firstHeaderRow="1" firstDataRow="1" firstDataCol="1"/>
  <pivotFields count="12">
    <pivotField showAll="0"/>
    <pivotField numFmtId="165" showAll="0"/>
    <pivotField showAll="0">
      <items count="12">
        <item x="3"/>
        <item x="8"/>
        <item x="9"/>
        <item x="4"/>
        <item x="2"/>
        <item x="7"/>
        <item x="10"/>
        <item x="6"/>
        <item x="0"/>
        <item x="5"/>
        <item x="1"/>
        <item t="default"/>
      </items>
    </pivotField>
    <pivotField axis="axisRow" showAll="0">
      <items count="6">
        <item x="3"/>
        <item x="4"/>
        <item x="0"/>
        <item x="2"/>
        <item x="1"/>
        <item t="default"/>
      </items>
    </pivotField>
    <pivotField showAll="0"/>
    <pivotField showAll="0"/>
    <pivotField numFmtId="164" showAll="0"/>
    <pivotField dataField="1" numFmtId="164" showAll="0"/>
    <pivotField showAll="0"/>
    <pivotField showAll="0">
      <items count="4">
        <item x="1"/>
        <item x="2"/>
        <item x="0"/>
        <item t="default"/>
      </items>
    </pivotField>
    <pivotField showAll="0">
      <items count="25">
        <item m="1" x="16"/>
        <item m="1" x="13"/>
        <item m="1" x="17"/>
        <item m="1" x="22"/>
        <item m="1" x="12"/>
        <item m="1" x="14"/>
        <item m="1" x="15"/>
        <item m="1" x="18"/>
        <item m="1" x="19"/>
        <item m="1" x="20"/>
        <item m="1" x="21"/>
        <item m="1" x="23"/>
        <item x="0"/>
        <item x="1"/>
        <item x="2"/>
        <item x="3"/>
        <item x="4"/>
        <item x="5"/>
        <item x="6"/>
        <item x="7"/>
        <item x="8"/>
        <item x="9"/>
        <item x="10"/>
        <item x="11"/>
        <item t="default"/>
      </items>
    </pivotField>
    <pivotField showAll="0" defaultSubtotal="0"/>
  </pivotFields>
  <rowFields count="1">
    <field x="3"/>
  </rowFields>
  <rowItems count="6">
    <i>
      <x/>
    </i>
    <i>
      <x v="1"/>
    </i>
    <i>
      <x v="2"/>
    </i>
    <i>
      <x v="3"/>
    </i>
    <i>
      <x v="4"/>
    </i>
    <i t="grand">
      <x/>
    </i>
  </rowItems>
  <colItems count="1">
    <i/>
  </colItems>
  <dataFields count="1">
    <dataField name="AOV" fld="7" subtotal="average" baseField="3" baseItem="0" numFmtId="167"/>
  </dataFields>
  <formats count="11">
    <format dxfId="4094">
      <pivotArea type="all" dataOnly="0" outline="0" fieldPosition="0"/>
    </format>
    <format dxfId="4093">
      <pivotArea outline="0" collapsedLevelsAreSubtotals="1" fieldPosition="0"/>
    </format>
    <format dxfId="4092">
      <pivotArea field="3" type="button" dataOnly="0" labelOnly="1" outline="0" axis="axisRow" fieldPosition="0"/>
    </format>
    <format dxfId="4091">
      <pivotArea dataOnly="0" labelOnly="1" fieldPosition="0">
        <references count="1">
          <reference field="3" count="0"/>
        </references>
      </pivotArea>
    </format>
    <format dxfId="4090">
      <pivotArea dataOnly="0" labelOnly="1" grandRow="1" outline="0" fieldPosition="0"/>
    </format>
    <format dxfId="4089">
      <pivotArea dataOnly="0" labelOnly="1" outline="0" axis="axisValues" fieldPosition="0"/>
    </format>
    <format dxfId="4088">
      <pivotArea outline="0" fieldPosition="0">
        <references count="1">
          <reference field="4294967294" count="1">
            <x v="0"/>
          </reference>
        </references>
      </pivotArea>
    </format>
    <format dxfId="4087">
      <pivotArea field="3" type="button" dataOnly="0" labelOnly="1" outline="0" axis="axisRow" fieldPosition="0"/>
    </format>
    <format dxfId="4086">
      <pivotArea dataOnly="0" labelOnly="1" outline="0" axis="axisValues" fieldPosition="0"/>
    </format>
    <format dxfId="4085">
      <pivotArea field="3" type="button" dataOnly="0" labelOnly="1" outline="0" axis="axisRow" fieldPosition="0"/>
    </format>
    <format dxfId="408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C9CDB5-47FC-4B67-BF70-E31D4A51E336}" name="AOV_Wilayah"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48:B260" firstHeaderRow="1" firstDataRow="1" firstDataCol="1"/>
  <pivotFields count="12">
    <pivotField showAll="0"/>
    <pivotField numFmtId="165" showAll="0"/>
    <pivotField axis="axisRow" showAll="0">
      <items count="12">
        <item x="3"/>
        <item x="8"/>
        <item x="9"/>
        <item x="4"/>
        <item x="2"/>
        <item x="7"/>
        <item x="10"/>
        <item x="6"/>
        <item x="0"/>
        <item x="5"/>
        <item x="1"/>
        <item t="default"/>
      </items>
    </pivotField>
    <pivotField showAll="0">
      <items count="6">
        <item x="3"/>
        <item x="4"/>
        <item x="0"/>
        <item x="2"/>
        <item x="1"/>
        <item t="default"/>
      </items>
    </pivotField>
    <pivotField showAll="0"/>
    <pivotField showAll="0"/>
    <pivotField numFmtId="164" showAll="0"/>
    <pivotField dataField="1" numFmtId="164" showAll="0"/>
    <pivotField showAll="0"/>
    <pivotField showAll="0">
      <items count="4">
        <item x="1"/>
        <item x="2"/>
        <item x="0"/>
        <item t="default"/>
      </items>
    </pivotField>
    <pivotField showAll="0"/>
    <pivotField showAll="0" defaultSubtotal="0"/>
  </pivotFields>
  <rowFields count="1">
    <field x="2"/>
  </rowFields>
  <rowItems count="12">
    <i>
      <x/>
    </i>
    <i>
      <x v="1"/>
    </i>
    <i>
      <x v="2"/>
    </i>
    <i>
      <x v="3"/>
    </i>
    <i>
      <x v="4"/>
    </i>
    <i>
      <x v="5"/>
    </i>
    <i>
      <x v="6"/>
    </i>
    <i>
      <x v="7"/>
    </i>
    <i>
      <x v="8"/>
    </i>
    <i>
      <x v="9"/>
    </i>
    <i>
      <x v="10"/>
    </i>
    <i t="grand">
      <x/>
    </i>
  </rowItems>
  <colItems count="1">
    <i/>
  </colItems>
  <dataFields count="1">
    <dataField name="AOV" fld="7" subtotal="average" baseField="2" baseItem="0" numFmtId="164"/>
  </dataFields>
  <formats count="7">
    <format dxfId="4101">
      <pivotArea outline="0" collapsedLevelsAreSubtotals="1" fieldPosition="0"/>
    </format>
    <format dxfId="4100">
      <pivotArea dataOnly="0" labelOnly="1" outline="0" axis="axisValues" fieldPosition="0"/>
    </format>
    <format dxfId="4099">
      <pivotArea outline="0" fieldPosition="0">
        <references count="1">
          <reference field="4294967294" count="1">
            <x v="0"/>
          </reference>
        </references>
      </pivotArea>
    </format>
    <format dxfId="4098">
      <pivotArea field="2" type="button" dataOnly="0" labelOnly="1" outline="0" axis="axisRow" fieldPosition="0"/>
    </format>
    <format dxfId="4097">
      <pivotArea dataOnly="0" labelOnly="1" outline="0" axis="axisValues" fieldPosition="0"/>
    </format>
    <format dxfId="4096">
      <pivotArea field="2" type="button" dataOnly="0" labelOnly="1" outline="0" axis="axisRow" fieldPosition="0"/>
    </format>
    <format dxfId="409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3FF8D73-7998-4E34-B969-9A66D6AA9F3D}"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rowHeaderCaption="Segmen Pelanggan">
  <location ref="K106:O110" firstHeaderRow="0" firstDataRow="1" firstDataCol="1"/>
  <pivotFields count="12">
    <pivotField dataField="1" showAll="0"/>
    <pivotField numFmtId="165" showAll="0"/>
    <pivotField showAll="0"/>
    <pivotField showAll="0"/>
    <pivotField showAll="0"/>
    <pivotField showAll="0"/>
    <pivotField numFmtId="164" showAll="0"/>
    <pivotField dataField="1" numFmtId="164"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defaultSubtotal="0"/>
  </pivotFields>
  <rowFields count="1">
    <field x="9"/>
  </rowFields>
  <rowItems count="4">
    <i>
      <x/>
    </i>
    <i>
      <x v="2"/>
    </i>
    <i>
      <x v="1"/>
    </i>
    <i t="grand">
      <x/>
    </i>
  </rowItems>
  <colFields count="1">
    <field x="-2"/>
  </colFields>
  <colItems count="4">
    <i>
      <x/>
    </i>
    <i i="1">
      <x v="1"/>
    </i>
    <i i="2">
      <x v="2"/>
    </i>
    <i i="3">
      <x v="3"/>
    </i>
  </colItems>
  <dataFields count="4">
    <dataField name="AOV" fld="7" subtotal="average" baseField="9" baseItem="1" numFmtId="169"/>
    <dataField name="Total Penjualan" fld="7" baseField="0" baseItem="0" numFmtId="169"/>
    <dataField name="Kontribusi" fld="7" showDataAs="percentOfTotal" baseField="0" baseItem="0" numFmtId="170"/>
    <dataField name="Jumlah Transaksi" fld="0" subtotal="count" baseField="0" baseItem="0"/>
  </dataFields>
  <formats count="14">
    <format dxfId="4115">
      <pivotArea outline="0" collapsedLevelsAreSubtotals="1" fieldPosition="0"/>
    </format>
    <format dxfId="4114">
      <pivotArea outline="0" fieldPosition="0">
        <references count="1">
          <reference field="4294967294" count="1">
            <x v="0"/>
          </reference>
        </references>
      </pivotArea>
    </format>
    <format dxfId="4113">
      <pivotArea outline="0" fieldPosition="0">
        <references count="1">
          <reference field="4294967294" count="1">
            <x v="1"/>
          </reference>
        </references>
      </pivotArea>
    </format>
    <format dxfId="4112">
      <pivotArea outline="0" fieldPosition="0">
        <references count="1">
          <reference field="4294967294" count="1">
            <x v="2"/>
          </reference>
        </references>
      </pivotArea>
    </format>
    <format dxfId="4111">
      <pivotArea field="9" type="button" dataOnly="0" labelOnly="1" outline="0" axis="axisRow" fieldPosition="0"/>
    </format>
    <format dxfId="4110">
      <pivotArea dataOnly="0" labelOnly="1" outline="0" fieldPosition="0">
        <references count="1">
          <reference field="4294967294" count="4">
            <x v="0"/>
            <x v="1"/>
            <x v="2"/>
            <x v="3"/>
          </reference>
        </references>
      </pivotArea>
    </format>
    <format dxfId="4109">
      <pivotArea outline="0" collapsedLevelsAreSubtotals="1" fieldPosition="0"/>
    </format>
    <format dxfId="4108">
      <pivotArea outline="0" collapsedLevelsAreSubtotals="1" fieldPosition="0"/>
    </format>
    <format dxfId="4107">
      <pivotArea field="9" type="button" dataOnly="0" labelOnly="1" outline="0" axis="axisRow" fieldPosition="0"/>
    </format>
    <format dxfId="4106">
      <pivotArea dataOnly="0" labelOnly="1" outline="0" fieldPosition="0">
        <references count="1">
          <reference field="4294967294" count="4">
            <x v="0"/>
            <x v="1"/>
            <x v="2"/>
            <x v="3"/>
          </reference>
        </references>
      </pivotArea>
    </format>
    <format dxfId="4105">
      <pivotArea field="9" type="button" dataOnly="0" labelOnly="1" outline="0" axis="axisRow" fieldPosition="0"/>
    </format>
    <format dxfId="4104">
      <pivotArea dataOnly="0" labelOnly="1" outline="0" fieldPosition="0">
        <references count="1">
          <reference field="4294967294" count="4">
            <x v="0"/>
            <x v="1"/>
            <x v="2"/>
            <x v="3"/>
          </reference>
        </references>
      </pivotArea>
    </format>
    <format dxfId="4103">
      <pivotArea collapsedLevelsAreSubtotals="1" fieldPosition="0">
        <references count="2">
          <reference field="4294967294" count="2" selected="0">
            <x v="2"/>
            <x v="3"/>
          </reference>
          <reference field="9" count="0"/>
        </references>
      </pivotArea>
    </format>
    <format dxfId="4102">
      <pivotArea field="9" grandRow="1" outline="0" collapsedLevelsAreSubtotals="1" axis="axisRow" fieldPosition="0">
        <references count="1">
          <reference field="4294967294" count="2" selected="0">
            <x v="2"/>
            <x v="3"/>
          </reference>
        </references>
      </pivotArea>
    </format>
  </formats>
  <chartFormats count="4">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2"/>
          </reference>
        </references>
      </pivotArea>
    </chartFormat>
    <chartFormat chart="21"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EA7A8F1-34C2-450D-9F17-C8089B60F036}" name="Metode_Pembayara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135:D142" firstHeaderRow="0" firstDataRow="1" firstDataCol="1"/>
  <pivotFields count="12">
    <pivotField dataField="1" showAll="0"/>
    <pivotField numFmtId="165" showAll="0"/>
    <pivotField showAll="0">
      <items count="12">
        <item x="3"/>
        <item x="8"/>
        <item x="9"/>
        <item x="4"/>
        <item x="2"/>
        <item x="7"/>
        <item x="10"/>
        <item x="6"/>
        <item x="0"/>
        <item x="5"/>
        <item x="1"/>
        <item t="default"/>
      </items>
    </pivotField>
    <pivotField showAll="0">
      <items count="6">
        <item x="3"/>
        <item x="4"/>
        <item x="0"/>
        <item x="2"/>
        <item x="1"/>
        <item t="default"/>
      </items>
    </pivotField>
    <pivotField showAll="0"/>
    <pivotField showAll="0"/>
    <pivotField numFmtId="164" showAll="0"/>
    <pivotField dataField="1" numFmtId="164" showAll="0"/>
    <pivotField axis="axisRow" showAll="0" sortType="descending">
      <items count="7">
        <item x="4"/>
        <item x="2"/>
        <item x="1"/>
        <item x="5"/>
        <item x="0"/>
        <item x="3"/>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items count="25">
        <item m="1" x="16"/>
        <item m="1" x="13"/>
        <item m="1" x="17"/>
        <item m="1" x="22"/>
        <item m="1" x="12"/>
        <item m="1" x="14"/>
        <item m="1" x="15"/>
        <item m="1" x="18"/>
        <item m="1" x="19"/>
        <item m="1" x="20"/>
        <item m="1" x="21"/>
        <item m="1" x="23"/>
        <item x="0"/>
        <item x="1"/>
        <item x="2"/>
        <item x="3"/>
        <item x="4"/>
        <item x="5"/>
        <item x="6"/>
        <item x="7"/>
        <item x="8"/>
        <item x="9"/>
        <item x="10"/>
        <item x="11"/>
        <item t="default"/>
      </items>
    </pivotField>
    <pivotField showAll="0" defaultSubtotal="0"/>
  </pivotFields>
  <rowFields count="1">
    <field x="8"/>
  </rowFields>
  <rowItems count="7">
    <i>
      <x v="4"/>
    </i>
    <i>
      <x v="1"/>
    </i>
    <i>
      <x v="2"/>
    </i>
    <i>
      <x/>
    </i>
    <i>
      <x v="5"/>
    </i>
    <i>
      <x v="3"/>
    </i>
    <i t="grand">
      <x/>
    </i>
  </rowItems>
  <colFields count="1">
    <field x="-2"/>
  </colFields>
  <colItems count="3">
    <i>
      <x/>
    </i>
    <i i="1">
      <x v="1"/>
    </i>
    <i i="2">
      <x v="2"/>
    </i>
  </colItems>
  <dataFields count="3">
    <dataField name="Sum of Total_Penjualan" fld="7" baseField="0" baseItem="0" numFmtId="164"/>
    <dataField name="Count of Order_ID" fld="0" subtotal="count" baseField="0" baseItem="0"/>
    <dataField name="Average of Total_Penjualan2" fld="7" subtotal="average" baseField="8" baseItem="4" numFmtId="164"/>
  </dataFields>
  <formats count="5">
    <format dxfId="4120">
      <pivotArea collapsedLevelsAreSubtotals="1" fieldPosition="0">
        <references count="2">
          <reference field="4294967294" count="1" selected="0">
            <x v="0"/>
          </reference>
          <reference field="8" count="1">
            <x v="4"/>
          </reference>
        </references>
      </pivotArea>
    </format>
    <format dxfId="4119">
      <pivotArea outline="0" fieldPosition="0">
        <references count="1">
          <reference field="4294967294" count="1">
            <x v="0"/>
          </reference>
        </references>
      </pivotArea>
    </format>
    <format dxfId="4118">
      <pivotArea outline="0" fieldPosition="0">
        <references count="1">
          <reference field="4294967294" count="1">
            <x v="2"/>
          </reference>
        </references>
      </pivotArea>
    </format>
    <format dxfId="4117">
      <pivotArea outline="0" collapsedLevelsAreSubtotals="1" fieldPosition="0"/>
    </format>
    <format dxfId="4116">
      <pivotArea dataOnly="0" labelOnly="1" outline="0" fieldPosition="0">
        <references count="1">
          <reference field="4294967294" count="3">
            <x v="0"/>
            <x v="1"/>
            <x v="2"/>
          </reference>
        </references>
      </pivotArea>
    </format>
  </formats>
  <chartFormats count="6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8" count="1" selected="0">
            <x v="4"/>
          </reference>
        </references>
      </pivotArea>
    </chartFormat>
    <chartFormat chart="0" format="4">
      <pivotArea type="data" outline="0" fieldPosition="0">
        <references count="2">
          <reference field="4294967294" count="1" selected="0">
            <x v="0"/>
          </reference>
          <reference field="8" count="1" selected="0">
            <x v="1"/>
          </reference>
        </references>
      </pivotArea>
    </chartFormat>
    <chartFormat chart="0" format="5">
      <pivotArea type="data" outline="0" fieldPosition="0">
        <references count="2">
          <reference field="4294967294" count="1" selected="0">
            <x v="0"/>
          </reference>
          <reference field="8" count="1" selected="0">
            <x v="2"/>
          </reference>
        </references>
      </pivotArea>
    </chartFormat>
    <chartFormat chart="0" format="6">
      <pivotArea type="data" outline="0" fieldPosition="0">
        <references count="2">
          <reference field="4294967294" count="1" selected="0">
            <x v="0"/>
          </reference>
          <reference field="8" count="1" selected="0">
            <x v="0"/>
          </reference>
        </references>
      </pivotArea>
    </chartFormat>
    <chartFormat chart="0" format="7">
      <pivotArea type="data" outline="0" fieldPosition="0">
        <references count="2">
          <reference field="4294967294" count="1" selected="0">
            <x v="0"/>
          </reference>
          <reference field="8" count="1" selected="0">
            <x v="5"/>
          </reference>
        </references>
      </pivotArea>
    </chartFormat>
    <chartFormat chart="0" format="8">
      <pivotArea type="data" outline="0" fieldPosition="0">
        <references count="2">
          <reference field="4294967294" count="1" selected="0">
            <x v="0"/>
          </reference>
          <reference field="8" count="1" selected="0">
            <x v="3"/>
          </reference>
        </references>
      </pivotArea>
    </chartFormat>
    <chartFormat chart="0" format="9">
      <pivotArea type="data" outline="0" fieldPosition="0">
        <references count="2">
          <reference field="4294967294" count="1" selected="0">
            <x v="1"/>
          </reference>
          <reference field="8" count="1" selected="0">
            <x v="4"/>
          </reference>
        </references>
      </pivotArea>
    </chartFormat>
    <chartFormat chart="0" format="10">
      <pivotArea type="data" outline="0" fieldPosition="0">
        <references count="2">
          <reference field="4294967294" count="1" selected="0">
            <x v="1"/>
          </reference>
          <reference field="8" count="1" selected="0">
            <x v="1"/>
          </reference>
        </references>
      </pivotArea>
    </chartFormat>
    <chartFormat chart="0" format="11">
      <pivotArea type="data" outline="0" fieldPosition="0">
        <references count="2">
          <reference field="4294967294" count="1" selected="0">
            <x v="1"/>
          </reference>
          <reference field="8" count="1" selected="0">
            <x v="2"/>
          </reference>
        </references>
      </pivotArea>
    </chartFormat>
    <chartFormat chart="0" format="12">
      <pivotArea type="data" outline="0" fieldPosition="0">
        <references count="2">
          <reference field="4294967294" count="1" selected="0">
            <x v="1"/>
          </reference>
          <reference field="8" count="1" selected="0">
            <x v="0"/>
          </reference>
        </references>
      </pivotArea>
    </chartFormat>
    <chartFormat chart="0" format="13">
      <pivotArea type="data" outline="0" fieldPosition="0">
        <references count="2">
          <reference field="4294967294" count="1" selected="0">
            <x v="1"/>
          </reference>
          <reference field="8" count="1" selected="0">
            <x v="5"/>
          </reference>
        </references>
      </pivotArea>
    </chartFormat>
    <chartFormat chart="0" format="14">
      <pivotArea type="data" outline="0" fieldPosition="0">
        <references count="2">
          <reference field="4294967294" count="1" selected="0">
            <x v="1"/>
          </reference>
          <reference field="8" count="1" selected="0">
            <x v="3"/>
          </reference>
        </references>
      </pivotArea>
    </chartFormat>
    <chartFormat chart="0" format="15">
      <pivotArea type="data" outline="0" fieldPosition="0">
        <references count="2">
          <reference field="4294967294" count="1" selected="0">
            <x v="2"/>
          </reference>
          <reference field="8" count="1" selected="0">
            <x v="4"/>
          </reference>
        </references>
      </pivotArea>
    </chartFormat>
    <chartFormat chart="0" format="16">
      <pivotArea type="data" outline="0" fieldPosition="0">
        <references count="2">
          <reference field="4294967294" count="1" selected="0">
            <x v="2"/>
          </reference>
          <reference field="8" count="1" selected="0">
            <x v="1"/>
          </reference>
        </references>
      </pivotArea>
    </chartFormat>
    <chartFormat chart="0" format="17">
      <pivotArea type="data" outline="0" fieldPosition="0">
        <references count="2">
          <reference field="4294967294" count="1" selected="0">
            <x v="2"/>
          </reference>
          <reference field="8" count="1" selected="0">
            <x v="2"/>
          </reference>
        </references>
      </pivotArea>
    </chartFormat>
    <chartFormat chart="0" format="18">
      <pivotArea type="data" outline="0" fieldPosition="0">
        <references count="2">
          <reference field="4294967294" count="1" selected="0">
            <x v="2"/>
          </reference>
          <reference field="8" count="1" selected="0">
            <x v="0"/>
          </reference>
        </references>
      </pivotArea>
    </chartFormat>
    <chartFormat chart="0" format="19">
      <pivotArea type="data" outline="0" fieldPosition="0">
        <references count="2">
          <reference field="4294967294" count="1" selected="0">
            <x v="2"/>
          </reference>
          <reference field="8" count="1" selected="0">
            <x v="5"/>
          </reference>
        </references>
      </pivotArea>
    </chartFormat>
    <chartFormat chart="0" format="20">
      <pivotArea type="data" outline="0" fieldPosition="0">
        <references count="2">
          <reference field="4294967294" count="1" selected="0">
            <x v="2"/>
          </reference>
          <reference field="8" count="1" selected="0">
            <x v="3"/>
          </reference>
        </references>
      </pivotArea>
    </chartFormat>
    <chartFormat chart="3" format="21" series="1">
      <pivotArea type="data" outline="0" fieldPosition="0">
        <references count="1">
          <reference field="4294967294" count="1" selected="0">
            <x v="0"/>
          </reference>
        </references>
      </pivotArea>
    </chartFormat>
    <chartFormat chart="3" format="22">
      <pivotArea type="data" outline="0" fieldPosition="0">
        <references count="2">
          <reference field="4294967294" count="1" selected="0">
            <x v="0"/>
          </reference>
          <reference field="8" count="1" selected="0">
            <x v="4"/>
          </reference>
        </references>
      </pivotArea>
    </chartFormat>
    <chartFormat chart="3" format="23">
      <pivotArea type="data" outline="0" fieldPosition="0">
        <references count="2">
          <reference field="4294967294" count="1" selected="0">
            <x v="0"/>
          </reference>
          <reference field="8" count="1" selected="0">
            <x v="1"/>
          </reference>
        </references>
      </pivotArea>
    </chartFormat>
    <chartFormat chart="3" format="24">
      <pivotArea type="data" outline="0" fieldPosition="0">
        <references count="2">
          <reference field="4294967294" count="1" selected="0">
            <x v="0"/>
          </reference>
          <reference field="8" count="1" selected="0">
            <x v="2"/>
          </reference>
        </references>
      </pivotArea>
    </chartFormat>
    <chartFormat chart="3" format="25">
      <pivotArea type="data" outline="0" fieldPosition="0">
        <references count="2">
          <reference field="4294967294" count="1" selected="0">
            <x v="0"/>
          </reference>
          <reference field="8" count="1" selected="0">
            <x v="0"/>
          </reference>
        </references>
      </pivotArea>
    </chartFormat>
    <chartFormat chart="3" format="26">
      <pivotArea type="data" outline="0" fieldPosition="0">
        <references count="2">
          <reference field="4294967294" count="1" selected="0">
            <x v="0"/>
          </reference>
          <reference field="8" count="1" selected="0">
            <x v="5"/>
          </reference>
        </references>
      </pivotArea>
    </chartFormat>
    <chartFormat chart="3" format="27">
      <pivotArea type="data" outline="0" fieldPosition="0">
        <references count="2">
          <reference field="4294967294" count="1" selected="0">
            <x v="0"/>
          </reference>
          <reference field="8" count="1" selected="0">
            <x v="3"/>
          </reference>
        </references>
      </pivotArea>
    </chartFormat>
    <chartFormat chart="3" format="28" series="1">
      <pivotArea type="data" outline="0" fieldPosition="0">
        <references count="1">
          <reference field="4294967294" count="1" selected="0">
            <x v="1"/>
          </reference>
        </references>
      </pivotArea>
    </chartFormat>
    <chartFormat chart="3" format="29">
      <pivotArea type="data" outline="0" fieldPosition="0">
        <references count="2">
          <reference field="4294967294" count="1" selected="0">
            <x v="1"/>
          </reference>
          <reference field="8" count="1" selected="0">
            <x v="4"/>
          </reference>
        </references>
      </pivotArea>
    </chartFormat>
    <chartFormat chart="3" format="30">
      <pivotArea type="data" outline="0" fieldPosition="0">
        <references count="2">
          <reference field="4294967294" count="1" selected="0">
            <x v="1"/>
          </reference>
          <reference field="8" count="1" selected="0">
            <x v="1"/>
          </reference>
        </references>
      </pivotArea>
    </chartFormat>
    <chartFormat chart="3" format="31">
      <pivotArea type="data" outline="0" fieldPosition="0">
        <references count="2">
          <reference field="4294967294" count="1" selected="0">
            <x v="1"/>
          </reference>
          <reference field="8" count="1" selected="0">
            <x v="2"/>
          </reference>
        </references>
      </pivotArea>
    </chartFormat>
    <chartFormat chart="3" format="32">
      <pivotArea type="data" outline="0" fieldPosition="0">
        <references count="2">
          <reference field="4294967294" count="1" selected="0">
            <x v="1"/>
          </reference>
          <reference field="8" count="1" selected="0">
            <x v="0"/>
          </reference>
        </references>
      </pivotArea>
    </chartFormat>
    <chartFormat chart="3" format="33">
      <pivotArea type="data" outline="0" fieldPosition="0">
        <references count="2">
          <reference field="4294967294" count="1" selected="0">
            <x v="1"/>
          </reference>
          <reference field="8" count="1" selected="0">
            <x v="5"/>
          </reference>
        </references>
      </pivotArea>
    </chartFormat>
    <chartFormat chart="3" format="34">
      <pivotArea type="data" outline="0" fieldPosition="0">
        <references count="2">
          <reference field="4294967294" count="1" selected="0">
            <x v="1"/>
          </reference>
          <reference field="8" count="1" selected="0">
            <x v="3"/>
          </reference>
        </references>
      </pivotArea>
    </chartFormat>
    <chartFormat chart="3" format="35" series="1">
      <pivotArea type="data" outline="0" fieldPosition="0">
        <references count="1">
          <reference field="4294967294" count="1" selected="0">
            <x v="2"/>
          </reference>
        </references>
      </pivotArea>
    </chartFormat>
    <chartFormat chart="3" format="36">
      <pivotArea type="data" outline="0" fieldPosition="0">
        <references count="2">
          <reference field="4294967294" count="1" selected="0">
            <x v="2"/>
          </reference>
          <reference field="8" count="1" selected="0">
            <x v="4"/>
          </reference>
        </references>
      </pivotArea>
    </chartFormat>
    <chartFormat chart="3" format="37">
      <pivotArea type="data" outline="0" fieldPosition="0">
        <references count="2">
          <reference field="4294967294" count="1" selected="0">
            <x v="2"/>
          </reference>
          <reference field="8" count="1" selected="0">
            <x v="1"/>
          </reference>
        </references>
      </pivotArea>
    </chartFormat>
    <chartFormat chart="3" format="38">
      <pivotArea type="data" outline="0" fieldPosition="0">
        <references count="2">
          <reference field="4294967294" count="1" selected="0">
            <x v="2"/>
          </reference>
          <reference field="8" count="1" selected="0">
            <x v="2"/>
          </reference>
        </references>
      </pivotArea>
    </chartFormat>
    <chartFormat chart="3" format="39">
      <pivotArea type="data" outline="0" fieldPosition="0">
        <references count="2">
          <reference field="4294967294" count="1" selected="0">
            <x v="2"/>
          </reference>
          <reference field="8" count="1" selected="0">
            <x v="0"/>
          </reference>
        </references>
      </pivotArea>
    </chartFormat>
    <chartFormat chart="3" format="40">
      <pivotArea type="data" outline="0" fieldPosition="0">
        <references count="2">
          <reference field="4294967294" count="1" selected="0">
            <x v="2"/>
          </reference>
          <reference field="8" count="1" selected="0">
            <x v="5"/>
          </reference>
        </references>
      </pivotArea>
    </chartFormat>
    <chartFormat chart="3" format="41">
      <pivotArea type="data" outline="0" fieldPosition="0">
        <references count="2">
          <reference field="4294967294" count="1" selected="0">
            <x v="2"/>
          </reference>
          <reference field="8" count="1" selected="0">
            <x v="3"/>
          </reference>
        </references>
      </pivotArea>
    </chartFormat>
    <chartFormat chart="9" format="42" series="1">
      <pivotArea type="data" outline="0" fieldPosition="0">
        <references count="1">
          <reference field="4294967294" count="1" selected="0">
            <x v="0"/>
          </reference>
        </references>
      </pivotArea>
    </chartFormat>
    <chartFormat chart="9" format="43">
      <pivotArea type="data" outline="0" fieldPosition="0">
        <references count="2">
          <reference field="4294967294" count="1" selected="0">
            <x v="0"/>
          </reference>
          <reference field="8" count="1" selected="0">
            <x v="4"/>
          </reference>
        </references>
      </pivotArea>
    </chartFormat>
    <chartFormat chart="9" format="44">
      <pivotArea type="data" outline="0" fieldPosition="0">
        <references count="2">
          <reference field="4294967294" count="1" selected="0">
            <x v="0"/>
          </reference>
          <reference field="8" count="1" selected="0">
            <x v="1"/>
          </reference>
        </references>
      </pivotArea>
    </chartFormat>
    <chartFormat chart="9" format="45">
      <pivotArea type="data" outline="0" fieldPosition="0">
        <references count="2">
          <reference field="4294967294" count="1" selected="0">
            <x v="0"/>
          </reference>
          <reference field="8" count="1" selected="0">
            <x v="2"/>
          </reference>
        </references>
      </pivotArea>
    </chartFormat>
    <chartFormat chart="9" format="46">
      <pivotArea type="data" outline="0" fieldPosition="0">
        <references count="2">
          <reference field="4294967294" count="1" selected="0">
            <x v="0"/>
          </reference>
          <reference field="8" count="1" selected="0">
            <x v="0"/>
          </reference>
        </references>
      </pivotArea>
    </chartFormat>
    <chartFormat chart="9" format="47">
      <pivotArea type="data" outline="0" fieldPosition="0">
        <references count="2">
          <reference field="4294967294" count="1" selected="0">
            <x v="0"/>
          </reference>
          <reference field="8" count="1" selected="0">
            <x v="5"/>
          </reference>
        </references>
      </pivotArea>
    </chartFormat>
    <chartFormat chart="9" format="48">
      <pivotArea type="data" outline="0" fieldPosition="0">
        <references count="2">
          <reference field="4294967294" count="1" selected="0">
            <x v="0"/>
          </reference>
          <reference field="8" count="1" selected="0">
            <x v="3"/>
          </reference>
        </references>
      </pivotArea>
    </chartFormat>
    <chartFormat chart="9" format="49" series="1">
      <pivotArea type="data" outline="0" fieldPosition="0">
        <references count="1">
          <reference field="4294967294" count="1" selected="0">
            <x v="1"/>
          </reference>
        </references>
      </pivotArea>
    </chartFormat>
    <chartFormat chart="9" format="50">
      <pivotArea type="data" outline="0" fieldPosition="0">
        <references count="2">
          <reference field="4294967294" count="1" selected="0">
            <x v="1"/>
          </reference>
          <reference field="8" count="1" selected="0">
            <x v="4"/>
          </reference>
        </references>
      </pivotArea>
    </chartFormat>
    <chartFormat chart="9" format="51">
      <pivotArea type="data" outline="0" fieldPosition="0">
        <references count="2">
          <reference field="4294967294" count="1" selected="0">
            <x v="1"/>
          </reference>
          <reference field="8" count="1" selected="0">
            <x v="1"/>
          </reference>
        </references>
      </pivotArea>
    </chartFormat>
    <chartFormat chart="9" format="52">
      <pivotArea type="data" outline="0" fieldPosition="0">
        <references count="2">
          <reference field="4294967294" count="1" selected="0">
            <x v="1"/>
          </reference>
          <reference field="8" count="1" selected="0">
            <x v="2"/>
          </reference>
        </references>
      </pivotArea>
    </chartFormat>
    <chartFormat chart="9" format="53">
      <pivotArea type="data" outline="0" fieldPosition="0">
        <references count="2">
          <reference field="4294967294" count="1" selected="0">
            <x v="1"/>
          </reference>
          <reference field="8" count="1" selected="0">
            <x v="0"/>
          </reference>
        </references>
      </pivotArea>
    </chartFormat>
    <chartFormat chart="9" format="54">
      <pivotArea type="data" outline="0" fieldPosition="0">
        <references count="2">
          <reference field="4294967294" count="1" selected="0">
            <x v="1"/>
          </reference>
          <reference field="8" count="1" selected="0">
            <x v="5"/>
          </reference>
        </references>
      </pivotArea>
    </chartFormat>
    <chartFormat chart="9" format="55">
      <pivotArea type="data" outline="0" fieldPosition="0">
        <references count="2">
          <reference field="4294967294" count="1" selected="0">
            <x v="1"/>
          </reference>
          <reference field="8" count="1" selected="0">
            <x v="3"/>
          </reference>
        </references>
      </pivotArea>
    </chartFormat>
    <chartFormat chart="9" format="56" series="1">
      <pivotArea type="data" outline="0" fieldPosition="0">
        <references count="1">
          <reference field="4294967294" count="1" selected="0">
            <x v="2"/>
          </reference>
        </references>
      </pivotArea>
    </chartFormat>
    <chartFormat chart="9" format="57">
      <pivotArea type="data" outline="0" fieldPosition="0">
        <references count="2">
          <reference field="4294967294" count="1" selected="0">
            <x v="2"/>
          </reference>
          <reference field="8" count="1" selected="0">
            <x v="4"/>
          </reference>
        </references>
      </pivotArea>
    </chartFormat>
    <chartFormat chart="9" format="58">
      <pivotArea type="data" outline="0" fieldPosition="0">
        <references count="2">
          <reference field="4294967294" count="1" selected="0">
            <x v="2"/>
          </reference>
          <reference field="8" count="1" selected="0">
            <x v="1"/>
          </reference>
        </references>
      </pivotArea>
    </chartFormat>
    <chartFormat chart="9" format="59">
      <pivotArea type="data" outline="0" fieldPosition="0">
        <references count="2">
          <reference field="4294967294" count="1" selected="0">
            <x v="2"/>
          </reference>
          <reference field="8" count="1" selected="0">
            <x v="2"/>
          </reference>
        </references>
      </pivotArea>
    </chartFormat>
    <chartFormat chart="9" format="60">
      <pivotArea type="data" outline="0" fieldPosition="0">
        <references count="2">
          <reference field="4294967294" count="1" selected="0">
            <x v="2"/>
          </reference>
          <reference field="8" count="1" selected="0">
            <x v="0"/>
          </reference>
        </references>
      </pivotArea>
    </chartFormat>
    <chartFormat chart="9" format="61">
      <pivotArea type="data" outline="0" fieldPosition="0">
        <references count="2">
          <reference field="4294967294" count="1" selected="0">
            <x v="2"/>
          </reference>
          <reference field="8" count="1" selected="0">
            <x v="5"/>
          </reference>
        </references>
      </pivotArea>
    </chartFormat>
    <chartFormat chart="9" format="62">
      <pivotArea type="data" outline="0" fieldPosition="0">
        <references count="2">
          <reference field="4294967294" count="1" selected="0">
            <x v="2"/>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46352E1-5AD9-4FBD-AECE-5DE4D1103081}" name="AOVWilayah"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4" rowHeaderCaption="Wilayah">
  <location ref="J33:K45" firstHeaderRow="1" firstDataRow="1" firstDataCol="1"/>
  <pivotFields count="12">
    <pivotField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ascending">
      <items count="12">
        <item x="3"/>
        <item x="8"/>
        <item x="9"/>
        <item x="4"/>
        <item x="2"/>
        <item x="7"/>
        <item x="10"/>
        <item x="6"/>
        <item x="0"/>
        <item x="5"/>
        <item x="1"/>
        <item t="default"/>
      </items>
      <autoSortScope>
        <pivotArea dataOnly="0" outline="0" fieldPosition="0">
          <references count="1">
            <reference field="4294967294" count="1" selected="0">
              <x v="0"/>
            </reference>
          </references>
        </pivotArea>
      </autoSortScope>
    </pivotField>
    <pivotField showAll="0">
      <items count="6">
        <item x="3"/>
        <item x="4"/>
        <item x="0"/>
        <item x="2"/>
        <item x="1"/>
        <item t="default"/>
      </items>
    </pivotField>
    <pivotField showAll="0"/>
    <pivotField showAll="0"/>
    <pivotField numFmtId="164" showAll="0"/>
    <pivotField dataField="1" numFmtId="164" showAll="0"/>
    <pivotField showAll="0">
      <items count="7">
        <item x="4"/>
        <item x="2"/>
        <item x="1"/>
        <item x="5"/>
        <item x="0"/>
        <item x="3"/>
        <item t="default"/>
      </items>
    </pivotField>
    <pivotField showAll="0">
      <items count="4">
        <item x="1"/>
        <item x="2"/>
        <item x="0"/>
        <item t="default"/>
      </items>
    </pivotField>
    <pivotField showAll="0">
      <items count="25">
        <item m="1" x="16"/>
        <item m="1" x="13"/>
        <item m="1" x="17"/>
        <item m="1" x="22"/>
        <item m="1" x="12"/>
        <item m="1" x="14"/>
        <item m="1" x="15"/>
        <item m="1" x="18"/>
        <item m="1" x="19"/>
        <item m="1" x="20"/>
        <item m="1" x="21"/>
        <item m="1" x="23"/>
        <item x="0"/>
        <item x="1"/>
        <item x="2"/>
        <item x="3"/>
        <item x="4"/>
        <item x="5"/>
        <item x="6"/>
        <item x="7"/>
        <item x="8"/>
        <item x="9"/>
        <item x="10"/>
        <item x="1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2">
    <i>
      <x v="6"/>
    </i>
    <i>
      <x v="1"/>
    </i>
    <i>
      <x v="4"/>
    </i>
    <i>
      <x/>
    </i>
    <i>
      <x v="7"/>
    </i>
    <i>
      <x v="10"/>
    </i>
    <i>
      <x v="8"/>
    </i>
    <i>
      <x v="2"/>
    </i>
    <i>
      <x v="5"/>
    </i>
    <i>
      <x v="3"/>
    </i>
    <i>
      <x v="9"/>
    </i>
    <i t="grand">
      <x/>
    </i>
  </rowItems>
  <colItems count="1">
    <i/>
  </colItems>
  <dataFields count="1">
    <dataField name="AOV Penjualan" fld="7" subtotal="average" baseField="2" baseItem="6" numFmtId="169"/>
  </dataFields>
  <formats count="3">
    <format dxfId="4123">
      <pivotArea outline="0" collapsedLevelsAreSubtotals="1" fieldPosition="0"/>
    </format>
    <format dxfId="4122">
      <pivotArea dataOnly="0" labelOnly="1" outline="0" fieldPosition="0">
        <references count="1">
          <reference field="4294967294" count="1">
            <x v="0"/>
          </reference>
        </references>
      </pivotArea>
    </format>
    <format dxfId="4121">
      <pivotArea outline="0" fieldPosition="0">
        <references count="1">
          <reference field="4294967294" count="1">
            <x v="0"/>
          </reference>
        </references>
      </pivotArea>
    </format>
  </formats>
  <chartFormats count="39">
    <chartFormat chart="9" format="1"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2" count="1" selected="0">
            <x v="8"/>
          </reference>
        </references>
      </pivotArea>
    </chartFormat>
    <chartFormat chart="9" format="15">
      <pivotArea type="data" outline="0" fieldPosition="0">
        <references count="2">
          <reference field="4294967294" count="1" selected="0">
            <x v="0"/>
          </reference>
          <reference field="2" count="1" selected="0">
            <x v="3"/>
          </reference>
        </references>
      </pivotArea>
    </chartFormat>
    <chartFormat chart="9" format="16">
      <pivotArea type="data" outline="0" fieldPosition="0">
        <references count="2">
          <reference field="4294967294" count="1" selected="0">
            <x v="0"/>
          </reference>
          <reference field="2" count="1" selected="0">
            <x v="9"/>
          </reference>
        </references>
      </pivotArea>
    </chartFormat>
    <chartFormat chart="9" format="17">
      <pivotArea type="data" outline="0" fieldPosition="0">
        <references count="2">
          <reference field="4294967294" count="1" selected="0">
            <x v="0"/>
          </reference>
          <reference field="2" count="1" selected="0">
            <x v="5"/>
          </reference>
        </references>
      </pivotArea>
    </chartFormat>
    <chartFormat chart="9" format="18">
      <pivotArea type="data" outline="0" fieldPosition="0">
        <references count="2">
          <reference field="4294967294" count="1" selected="0">
            <x v="0"/>
          </reference>
          <reference field="2" count="1" selected="0">
            <x v="4"/>
          </reference>
        </references>
      </pivotArea>
    </chartFormat>
    <chartFormat chart="9" format="19">
      <pivotArea type="data" outline="0" fieldPosition="0">
        <references count="2">
          <reference field="4294967294" count="1" selected="0">
            <x v="0"/>
          </reference>
          <reference field="2" count="1" selected="0">
            <x v="0"/>
          </reference>
        </references>
      </pivotArea>
    </chartFormat>
    <chartFormat chart="9" format="20">
      <pivotArea type="data" outline="0" fieldPosition="0">
        <references count="2">
          <reference field="4294967294" count="1" selected="0">
            <x v="0"/>
          </reference>
          <reference field="2" count="1" selected="0">
            <x v="2"/>
          </reference>
        </references>
      </pivotArea>
    </chartFormat>
    <chartFormat chart="9" format="21">
      <pivotArea type="data" outline="0" fieldPosition="0">
        <references count="2">
          <reference field="4294967294" count="1" selected="0">
            <x v="0"/>
          </reference>
          <reference field="2" count="1" selected="0">
            <x v="10"/>
          </reference>
        </references>
      </pivotArea>
    </chartFormat>
    <chartFormat chart="9" format="22">
      <pivotArea type="data" outline="0" fieldPosition="0">
        <references count="2">
          <reference field="4294967294" count="1" selected="0">
            <x v="0"/>
          </reference>
          <reference field="2" count="1" selected="0">
            <x v="7"/>
          </reference>
        </references>
      </pivotArea>
    </chartFormat>
    <chartFormat chart="9" format="23">
      <pivotArea type="data" outline="0" fieldPosition="0">
        <references count="2">
          <reference field="4294967294" count="1" selected="0">
            <x v="0"/>
          </reference>
          <reference field="2" count="1" selected="0">
            <x v="1"/>
          </reference>
        </references>
      </pivotArea>
    </chartFormat>
    <chartFormat chart="9" format="24">
      <pivotArea type="data" outline="0" fieldPosition="0">
        <references count="2">
          <reference field="4294967294" count="1" selected="0">
            <x v="0"/>
          </reference>
          <reference field="2" count="1" selected="0">
            <x v="6"/>
          </reference>
        </references>
      </pivotArea>
    </chartFormat>
    <chartFormat chart="10"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13" series="1">
      <pivotArea type="data" outline="0" fieldPosition="0">
        <references count="1">
          <reference field="4294967294" count="1" selected="0">
            <x v="0"/>
          </reference>
        </references>
      </pivotArea>
    </chartFormat>
    <chartFormat chart="23" format="14">
      <pivotArea type="data" outline="0" fieldPosition="0">
        <references count="2">
          <reference field="4294967294" count="1" selected="0">
            <x v="0"/>
          </reference>
          <reference field="2" count="1" selected="0">
            <x v="6"/>
          </reference>
        </references>
      </pivotArea>
    </chartFormat>
    <chartFormat chart="23" format="15">
      <pivotArea type="data" outline="0" fieldPosition="0">
        <references count="2">
          <reference field="4294967294" count="1" selected="0">
            <x v="0"/>
          </reference>
          <reference field="2" count="1" selected="0">
            <x v="1"/>
          </reference>
        </references>
      </pivotArea>
    </chartFormat>
    <chartFormat chart="23" format="16">
      <pivotArea type="data" outline="0" fieldPosition="0">
        <references count="2">
          <reference field="4294967294" count="1" selected="0">
            <x v="0"/>
          </reference>
          <reference field="2" count="1" selected="0">
            <x v="4"/>
          </reference>
        </references>
      </pivotArea>
    </chartFormat>
    <chartFormat chart="23" format="17">
      <pivotArea type="data" outline="0" fieldPosition="0">
        <references count="2">
          <reference field="4294967294" count="1" selected="0">
            <x v="0"/>
          </reference>
          <reference field="2" count="1" selected="0">
            <x v="0"/>
          </reference>
        </references>
      </pivotArea>
    </chartFormat>
    <chartFormat chart="23" format="18">
      <pivotArea type="data" outline="0" fieldPosition="0">
        <references count="2">
          <reference field="4294967294" count="1" selected="0">
            <x v="0"/>
          </reference>
          <reference field="2" count="1" selected="0">
            <x v="7"/>
          </reference>
        </references>
      </pivotArea>
    </chartFormat>
    <chartFormat chart="23" format="19">
      <pivotArea type="data" outline="0" fieldPosition="0">
        <references count="2">
          <reference field="4294967294" count="1" selected="0">
            <x v="0"/>
          </reference>
          <reference field="2" count="1" selected="0">
            <x v="10"/>
          </reference>
        </references>
      </pivotArea>
    </chartFormat>
    <chartFormat chart="23" format="20">
      <pivotArea type="data" outline="0" fieldPosition="0">
        <references count="2">
          <reference field="4294967294" count="1" selected="0">
            <x v="0"/>
          </reference>
          <reference field="2" count="1" selected="0">
            <x v="8"/>
          </reference>
        </references>
      </pivotArea>
    </chartFormat>
    <chartFormat chart="23" format="21">
      <pivotArea type="data" outline="0" fieldPosition="0">
        <references count="2">
          <reference field="4294967294" count="1" selected="0">
            <x v="0"/>
          </reference>
          <reference field="2" count="1" selected="0">
            <x v="2"/>
          </reference>
        </references>
      </pivotArea>
    </chartFormat>
    <chartFormat chart="23" format="22">
      <pivotArea type="data" outline="0" fieldPosition="0">
        <references count="2">
          <reference field="4294967294" count="1" selected="0">
            <x v="0"/>
          </reference>
          <reference field="2" count="1" selected="0">
            <x v="5"/>
          </reference>
        </references>
      </pivotArea>
    </chartFormat>
    <chartFormat chart="23" format="23">
      <pivotArea type="data" outline="0" fieldPosition="0">
        <references count="2">
          <reference field="4294967294" count="1" selected="0">
            <x v="0"/>
          </reference>
          <reference field="2" count="1" selected="0">
            <x v="3"/>
          </reference>
        </references>
      </pivotArea>
    </chartFormat>
    <chartFormat chart="23" format="24">
      <pivotArea type="data" outline="0" fieldPosition="0">
        <references count="2">
          <reference field="4294967294" count="1" selected="0">
            <x v="0"/>
          </reference>
          <reference field="2" count="1" selected="0">
            <x v="9"/>
          </reference>
        </references>
      </pivotArea>
    </chartFormat>
    <chartFormat chart="21" format="1">
      <pivotArea type="data" outline="0" fieldPosition="0">
        <references count="2">
          <reference field="4294967294" count="1" selected="0">
            <x v="0"/>
          </reference>
          <reference field="2" count="1" selected="0">
            <x v="6"/>
          </reference>
        </references>
      </pivotArea>
    </chartFormat>
    <chartFormat chart="21" format="2">
      <pivotArea type="data" outline="0" fieldPosition="0">
        <references count="2">
          <reference field="4294967294" count="1" selected="0">
            <x v="0"/>
          </reference>
          <reference field="2" count="1" selected="0">
            <x v="1"/>
          </reference>
        </references>
      </pivotArea>
    </chartFormat>
    <chartFormat chart="21" format="3">
      <pivotArea type="data" outline="0" fieldPosition="0">
        <references count="2">
          <reference field="4294967294" count="1" selected="0">
            <x v="0"/>
          </reference>
          <reference field="2" count="1" selected="0">
            <x v="4"/>
          </reference>
        </references>
      </pivotArea>
    </chartFormat>
    <chartFormat chart="21" format="4">
      <pivotArea type="data" outline="0" fieldPosition="0">
        <references count="2">
          <reference field="4294967294" count="1" selected="0">
            <x v="0"/>
          </reference>
          <reference field="2" count="1" selected="0">
            <x v="0"/>
          </reference>
        </references>
      </pivotArea>
    </chartFormat>
    <chartFormat chart="21" format="5">
      <pivotArea type="data" outline="0" fieldPosition="0">
        <references count="2">
          <reference field="4294967294" count="1" selected="0">
            <x v="0"/>
          </reference>
          <reference field="2" count="1" selected="0">
            <x v="7"/>
          </reference>
        </references>
      </pivotArea>
    </chartFormat>
    <chartFormat chart="21" format="6">
      <pivotArea type="data" outline="0" fieldPosition="0">
        <references count="2">
          <reference field="4294967294" count="1" selected="0">
            <x v="0"/>
          </reference>
          <reference field="2" count="1" selected="0">
            <x v="10"/>
          </reference>
        </references>
      </pivotArea>
    </chartFormat>
    <chartFormat chart="21" format="7">
      <pivotArea type="data" outline="0" fieldPosition="0">
        <references count="2">
          <reference field="4294967294" count="1" selected="0">
            <x v="0"/>
          </reference>
          <reference field="2" count="1" selected="0">
            <x v="8"/>
          </reference>
        </references>
      </pivotArea>
    </chartFormat>
    <chartFormat chart="21" format="8">
      <pivotArea type="data" outline="0" fieldPosition="0">
        <references count="2">
          <reference field="4294967294" count="1" selected="0">
            <x v="0"/>
          </reference>
          <reference field="2" count="1" selected="0">
            <x v="2"/>
          </reference>
        </references>
      </pivotArea>
    </chartFormat>
    <chartFormat chart="21" format="9">
      <pivotArea type="data" outline="0" fieldPosition="0">
        <references count="2">
          <reference field="4294967294" count="1" selected="0">
            <x v="0"/>
          </reference>
          <reference field="2" count="1" selected="0">
            <x v="5"/>
          </reference>
        </references>
      </pivotArea>
    </chartFormat>
    <chartFormat chart="21" format="10">
      <pivotArea type="data" outline="0" fieldPosition="0">
        <references count="2">
          <reference field="4294967294" count="1" selected="0">
            <x v="0"/>
          </reference>
          <reference field="2" count="1" selected="0">
            <x v="3"/>
          </reference>
        </references>
      </pivotArea>
    </chartFormat>
    <chartFormat chart="21" format="11">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D5D7460-B301-4A84-BACC-EC064F328CB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Wilayah">
  <location ref="A219:C231" firstHeaderRow="0" firstDataRow="1" firstDataCol="1"/>
  <pivotFields count="12">
    <pivotField showAll="0"/>
    <pivotField numFmtId="165" showAll="0"/>
    <pivotField axis="axisRow" showAll="0" sortType="descending">
      <items count="12">
        <item x="3"/>
        <item x="8"/>
        <item x="9"/>
        <item x="4"/>
        <item x="2"/>
        <item x="7"/>
        <item x="10"/>
        <item x="6"/>
        <item x="0"/>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dataField="1" numFmtId="164" showAll="0"/>
    <pivotField showAll="0"/>
    <pivotField showAll="0"/>
    <pivotField showAll="0"/>
    <pivotField showAll="0" defaultSubtotal="0"/>
  </pivotFields>
  <rowFields count="1">
    <field x="2"/>
  </rowFields>
  <rowItems count="12">
    <i>
      <x v="8"/>
    </i>
    <i>
      <x v="3"/>
    </i>
    <i>
      <x v="9"/>
    </i>
    <i>
      <x v="5"/>
    </i>
    <i>
      <x v="4"/>
    </i>
    <i>
      <x/>
    </i>
    <i>
      <x v="2"/>
    </i>
    <i>
      <x v="10"/>
    </i>
    <i>
      <x v="7"/>
    </i>
    <i>
      <x v="1"/>
    </i>
    <i>
      <x v="6"/>
    </i>
    <i t="grand">
      <x/>
    </i>
  </rowItems>
  <colFields count="1">
    <field x="-2"/>
  </colFields>
  <colItems count="2">
    <i>
      <x/>
    </i>
    <i i="1">
      <x v="1"/>
    </i>
  </colItems>
  <dataFields count="2">
    <dataField name="Total Penjualan" fld="7" baseField="0" baseItem="0" numFmtId="164"/>
    <dataField name="Kontribusi" fld="7" showDataAs="percentOfTotal" baseField="0" baseItem="0" numFmtId="10"/>
  </dataFields>
  <formats count="2">
    <format dxfId="4125">
      <pivotArea outline="0" collapsedLevelsAreSubtotals="1" fieldPosition="0"/>
    </format>
    <format dxfId="412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0E6A54A-82A0-479F-8BD4-B1FA6E6157BD}" name="Pola_Musiman" cacheId="0" applyNumberFormats="0" applyBorderFormats="0" applyFontFormats="0" applyPatternFormats="0" applyAlignmentFormats="0" applyWidthHeightFormats="1" dataCaption="Values" missingCaption="0" updatedVersion="7" minRefreshableVersion="3" useAutoFormatting="1" itemPrintTitles="1" createdVersion="7" indent="0" outline="1" outlineData="1" multipleFieldFilters="0" chartFormat="5">
  <location ref="A167:G181" firstHeaderRow="1" firstDataRow="2" firstDataCol="1"/>
  <pivotFields count="12">
    <pivotField showAll="0"/>
    <pivotField numFmtId="165" showAll="0"/>
    <pivotField showAll="0">
      <items count="12">
        <item x="3"/>
        <item x="8"/>
        <item x="9"/>
        <item x="4"/>
        <item x="2"/>
        <item x="7"/>
        <item x="10"/>
        <item x="6"/>
        <item x="0"/>
        <item x="5"/>
        <item x="1"/>
        <item t="default"/>
      </items>
    </pivotField>
    <pivotField axis="axisCol" showAll="0">
      <items count="6">
        <item sd="0" x="3"/>
        <item x="4"/>
        <item x="0"/>
        <item x="2"/>
        <item x="1"/>
        <item t="default"/>
      </items>
    </pivotField>
    <pivotField showAll="0"/>
    <pivotField showAll="0"/>
    <pivotField numFmtId="164" showAll="0"/>
    <pivotField dataField="1" numFmtId="164" showAll="0"/>
    <pivotField showAll="0">
      <items count="7">
        <item x="4"/>
        <item x="2"/>
        <item x="1"/>
        <item x="5"/>
        <item x="0"/>
        <item x="3"/>
        <item t="default"/>
      </items>
    </pivotField>
    <pivotField showAll="0">
      <items count="4">
        <item x="1"/>
        <item x="2"/>
        <item x="0"/>
        <item t="default"/>
      </items>
    </pivotField>
    <pivotField axis="axisRow" showAll="0">
      <items count="25">
        <item m="1" x="16"/>
        <item m="1" x="13"/>
        <item m="1" x="17"/>
        <item m="1" x="22"/>
        <item m="1" x="12"/>
        <item m="1" x="14"/>
        <item m="1" x="15"/>
        <item m="1" x="18"/>
        <item m="1" x="19"/>
        <item m="1" x="20"/>
        <item m="1" x="21"/>
        <item m="1" x="23"/>
        <item x="0"/>
        <item x="1"/>
        <item x="2"/>
        <item x="3"/>
        <item x="4"/>
        <item x="5"/>
        <item x="6"/>
        <item x="7"/>
        <item x="8"/>
        <item x="9"/>
        <item x="10"/>
        <item x="11"/>
        <item t="default"/>
      </items>
    </pivotField>
    <pivotField showAll="0" defaultSubtotal="0"/>
  </pivotFields>
  <rowFields count="1">
    <field x="10"/>
  </rowFields>
  <rowItems count="13">
    <i>
      <x v="12"/>
    </i>
    <i>
      <x v="13"/>
    </i>
    <i>
      <x v="14"/>
    </i>
    <i>
      <x v="15"/>
    </i>
    <i>
      <x v="16"/>
    </i>
    <i>
      <x v="17"/>
    </i>
    <i>
      <x v="18"/>
    </i>
    <i>
      <x v="19"/>
    </i>
    <i>
      <x v="20"/>
    </i>
    <i>
      <x v="21"/>
    </i>
    <i>
      <x v="22"/>
    </i>
    <i>
      <x v="23"/>
    </i>
    <i t="grand">
      <x/>
    </i>
  </rowItems>
  <colFields count="1">
    <field x="3"/>
  </colFields>
  <colItems count="6">
    <i>
      <x/>
    </i>
    <i>
      <x v="1"/>
    </i>
    <i>
      <x v="2"/>
    </i>
    <i>
      <x v="3"/>
    </i>
    <i>
      <x v="4"/>
    </i>
    <i t="grand">
      <x/>
    </i>
  </colItems>
  <dataFields count="1">
    <dataField name="Sum of Total_Penjualan" fld="7" baseField="0" baseItem="0" numFmtId="169"/>
  </dataFields>
  <formats count="6">
    <format dxfId="4130">
      <pivotArea outline="0" collapsedLevelsAreSubtotals="1" fieldPosition="0"/>
    </format>
    <format dxfId="4129">
      <pivotArea field="3" type="button" dataOnly="0" labelOnly="1" outline="0" axis="axisCol" fieldPosition="0"/>
    </format>
    <format dxfId="4128">
      <pivotArea type="topRight" dataOnly="0" labelOnly="1" outline="0" fieldPosition="0"/>
    </format>
    <format dxfId="4127">
      <pivotArea dataOnly="0" labelOnly="1" fieldPosition="0">
        <references count="1">
          <reference field="3" count="0"/>
        </references>
      </pivotArea>
    </format>
    <format dxfId="4126">
      <pivotArea dataOnly="0" labelOnly="1" grandCol="1" outline="0" fieldPosition="0"/>
    </format>
    <format dxfId="3954">
      <pivotArea outline="0" fieldPosition="0">
        <references count="1">
          <reference field="4294967294" count="1">
            <x v="0"/>
          </reference>
        </references>
      </pivotArea>
    </format>
  </formats>
  <conditionalFormats count="1">
    <conditionalFormat priority="13">
      <pivotAreas count="1">
        <pivotArea type="data" outline="0" collapsedLevelsAreSubtotals="1" fieldPosition="0">
          <references count="1">
            <reference field="4294967294" count="1" selected="0">
              <x v="0"/>
            </reference>
          </references>
        </pivotArea>
      </pivotAreas>
    </conditionalFormat>
  </conditionalFormats>
  <chartFormats count="6">
    <chartFormat chart="4" format="20" series="1">
      <pivotArea type="data" outline="0" fieldPosition="0">
        <references count="2">
          <reference field="4294967294" count="1" selected="0">
            <x v="0"/>
          </reference>
          <reference field="3" count="1" selected="0">
            <x v="0"/>
          </reference>
        </references>
      </pivotArea>
    </chartFormat>
    <chartFormat chart="4" format="21" series="1">
      <pivotArea type="data" outline="0" fieldPosition="0">
        <references count="2">
          <reference field="4294967294" count="1" selected="0">
            <x v="0"/>
          </reference>
          <reference field="3" count="1" selected="0">
            <x v="1"/>
          </reference>
        </references>
      </pivotArea>
    </chartFormat>
    <chartFormat chart="4" format="22" series="1">
      <pivotArea type="data" outline="0" fieldPosition="0">
        <references count="2">
          <reference field="4294967294" count="1" selected="0">
            <x v="0"/>
          </reference>
          <reference field="3" count="1" selected="0">
            <x v="2"/>
          </reference>
        </references>
      </pivotArea>
    </chartFormat>
    <chartFormat chart="4" format="23" series="1">
      <pivotArea type="data" outline="0" fieldPosition="0">
        <references count="2">
          <reference field="4294967294" count="1" selected="0">
            <x v="0"/>
          </reference>
          <reference field="3" count="1" selected="0">
            <x v="3"/>
          </reference>
        </references>
      </pivotArea>
    </chartFormat>
    <chartFormat chart="4" format="24" series="1">
      <pivotArea type="data" outline="0" fieldPosition="0">
        <references count="2">
          <reference field="4294967294" count="1" selected="0">
            <x v="0"/>
          </reference>
          <reference field="3" count="1" selected="0">
            <x v="4"/>
          </reference>
        </references>
      </pivotArea>
    </chartFormat>
    <chartFormat chart="4"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E31267B-DB29-42DC-AA73-73E0939989E7}" name="AOV_Segmen_Pelangga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rowHeaderCaption="Segmen Pelanggan">
  <location ref="A106:E110" firstHeaderRow="0" firstDataRow="1" firstDataCol="1"/>
  <pivotFields count="12">
    <pivotField dataField="1" showAll="0"/>
    <pivotField numFmtId="165" showAll="0"/>
    <pivotField showAll="0"/>
    <pivotField showAll="0"/>
    <pivotField showAll="0"/>
    <pivotField showAll="0"/>
    <pivotField numFmtId="164" showAll="0"/>
    <pivotField dataField="1" numFmtId="164"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defaultSubtotal="0"/>
  </pivotFields>
  <rowFields count="1">
    <field x="9"/>
  </rowFields>
  <rowItems count="4">
    <i>
      <x/>
    </i>
    <i>
      <x v="2"/>
    </i>
    <i>
      <x v="1"/>
    </i>
    <i t="grand">
      <x/>
    </i>
  </rowItems>
  <colFields count="1">
    <field x="-2"/>
  </colFields>
  <colItems count="4">
    <i>
      <x/>
    </i>
    <i i="1">
      <x v="1"/>
    </i>
    <i i="2">
      <x v="2"/>
    </i>
    <i i="3">
      <x v="3"/>
    </i>
  </colItems>
  <dataFields count="4">
    <dataField name="Rata-rata Penjualan" fld="7" subtotal="average" baseField="9" baseItem="1" numFmtId="169"/>
    <dataField name="Total Penjualan" fld="7" baseField="0" baseItem="0" numFmtId="169"/>
    <dataField name="Kontribusi" fld="7" showDataAs="percentOfTotal" baseField="0" baseItem="0" numFmtId="10"/>
    <dataField name="Jumlah Transaksi" fld="0" subtotal="count" baseField="0" baseItem="0"/>
  </dataFields>
  <formats count="4">
    <format dxfId="4134">
      <pivotArea outline="0" collapsedLevelsAreSubtotals="1" fieldPosition="0"/>
    </format>
    <format dxfId="4133">
      <pivotArea dataOnly="0" labelOnly="1" outline="0" fieldPosition="0">
        <references count="1">
          <reference field="4294967294" count="4">
            <x v="0"/>
            <x v="1"/>
            <x v="2"/>
            <x v="3"/>
          </reference>
        </references>
      </pivotArea>
    </format>
    <format dxfId="4132">
      <pivotArea outline="0" fieldPosition="0">
        <references count="1">
          <reference field="4294967294" count="1">
            <x v="0"/>
          </reference>
        </references>
      </pivotArea>
    </format>
    <format dxfId="4131">
      <pivotArea outline="0" fieldPosition="0">
        <references count="1">
          <reference field="4294967294" count="1">
            <x v="1"/>
          </reference>
        </references>
      </pivotArea>
    </format>
  </formats>
  <chartFormats count="4">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2"/>
          </reference>
        </references>
      </pivotArea>
    </chartFormat>
    <chartFormat chart="21"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F43D886-A6A2-4AF4-9A91-A2C60E744190}" name="Kontribusi_Kategori"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Kategori">
  <location ref="A73:E79" firstHeaderRow="0" firstDataRow="1" firstDataCol="1"/>
  <pivotFields count="12">
    <pivotField showAll="0"/>
    <pivotField numFmtId="165" showAll="0"/>
    <pivotField showAll="0">
      <items count="12">
        <item x="3"/>
        <item x="8"/>
        <item x="9"/>
        <item x="4"/>
        <item x="2"/>
        <item x="7"/>
        <item x="10"/>
        <item x="6"/>
        <item x="0"/>
        <item x="5"/>
        <item x="1"/>
        <item t="default"/>
      </items>
    </pivotField>
    <pivotField axis="axisRow" showAll="0" sortType="descending">
      <items count="6">
        <item x="3"/>
        <item x="4"/>
        <item x="0"/>
        <item x="2"/>
        <item x="1"/>
        <item t="default"/>
      </items>
      <autoSortScope>
        <pivotArea dataOnly="0" outline="0" fieldPosition="0">
          <references count="1">
            <reference field="4294967294" count="1" selected="0">
              <x v="0"/>
            </reference>
          </references>
        </pivotArea>
      </autoSortScope>
    </pivotField>
    <pivotField showAll="0"/>
    <pivotField dataField="1" showAll="0"/>
    <pivotField numFmtId="164" showAll="0"/>
    <pivotField dataField="1" numFmtId="164" showAll="0"/>
    <pivotField showAll="0">
      <items count="7">
        <item x="4"/>
        <item x="2"/>
        <item x="1"/>
        <item x="5"/>
        <item x="0"/>
        <item x="3"/>
        <item t="default"/>
      </items>
    </pivotField>
    <pivotField showAll="0">
      <items count="4">
        <item x="1"/>
        <item x="2"/>
        <item x="0"/>
        <item t="default"/>
      </items>
    </pivotField>
    <pivotField showAll="0">
      <items count="25">
        <item m="1" x="16"/>
        <item m="1" x="13"/>
        <item m="1" x="17"/>
        <item m="1" x="22"/>
        <item m="1" x="12"/>
        <item m="1" x="14"/>
        <item m="1" x="15"/>
        <item m="1" x="18"/>
        <item m="1" x="19"/>
        <item m="1" x="20"/>
        <item m="1" x="21"/>
        <item m="1" x="23"/>
        <item x="0"/>
        <item x="1"/>
        <item x="2"/>
        <item x="3"/>
        <item x="4"/>
        <item x="5"/>
        <item x="6"/>
        <item x="7"/>
        <item x="8"/>
        <item x="9"/>
        <item x="10"/>
        <item x="11"/>
        <item t="default"/>
      </items>
    </pivotField>
    <pivotField showAll="0" defaultSubtotal="0"/>
  </pivotFields>
  <rowFields count="1">
    <field x="3"/>
  </rowFields>
  <rowItems count="6">
    <i>
      <x v="1"/>
    </i>
    <i>
      <x/>
    </i>
    <i>
      <x v="3"/>
    </i>
    <i>
      <x v="2"/>
    </i>
    <i>
      <x v="4"/>
    </i>
    <i t="grand">
      <x/>
    </i>
  </rowItems>
  <colFields count="1">
    <field x="-2"/>
  </colFields>
  <colItems count="4">
    <i>
      <x/>
    </i>
    <i i="1">
      <x v="1"/>
    </i>
    <i i="2">
      <x v="2"/>
    </i>
    <i i="3">
      <x v="3"/>
    </i>
  </colItems>
  <dataFields count="4">
    <dataField name="Total Penjualan" fld="7" baseField="0" baseItem="0" numFmtId="164"/>
    <dataField name="Kontribusi" fld="7" showDataAs="percentOfTotal" baseField="0" baseItem="0" numFmtId="10"/>
    <dataField name="Jumlah Terjual" fld="5" baseField="0" baseItem="0"/>
    <dataField name="Jumlah Transaksi" fld="5" subtotal="count" baseField="3" baseItem="0"/>
  </dataFields>
  <formats count="2">
    <format dxfId="4136">
      <pivotArea outline="0" collapsedLevelsAreSubtotals="1" fieldPosition="0"/>
    </format>
    <format dxfId="4135">
      <pivotArea dataOnly="0" labelOnly="1" outline="0" fieldPosition="0">
        <references count="1">
          <reference field="4294967294" count="4">
            <x v="0"/>
            <x v="1"/>
            <x v="2"/>
            <x v="3"/>
          </reference>
        </references>
      </pivotArea>
    </format>
  </formats>
  <chartFormats count="4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pivotArea type="data" outline="0" fieldPosition="0">
        <references count="2">
          <reference field="4294967294" count="1" selected="0">
            <x v="0"/>
          </reference>
          <reference field="3" count="1" selected="0">
            <x v="1"/>
          </reference>
        </references>
      </pivotArea>
    </chartFormat>
    <chartFormat chart="1" format="5">
      <pivotArea type="data" outline="0" fieldPosition="0">
        <references count="2">
          <reference field="4294967294" count="1" selected="0">
            <x v="0"/>
          </reference>
          <reference field="3" count="1" selected="0">
            <x v="0"/>
          </reference>
        </references>
      </pivotArea>
    </chartFormat>
    <chartFormat chart="1" format="6">
      <pivotArea type="data" outline="0" fieldPosition="0">
        <references count="2">
          <reference field="4294967294" count="1" selected="0">
            <x v="0"/>
          </reference>
          <reference field="3" count="1" selected="0">
            <x v="3"/>
          </reference>
        </references>
      </pivotArea>
    </chartFormat>
    <chartFormat chart="1" format="7">
      <pivotArea type="data" outline="0" fieldPosition="0">
        <references count="2">
          <reference field="4294967294" count="1" selected="0">
            <x v="0"/>
          </reference>
          <reference field="3" count="1" selected="0">
            <x v="2"/>
          </reference>
        </references>
      </pivotArea>
    </chartFormat>
    <chartFormat chart="1" format="8">
      <pivotArea type="data" outline="0" fieldPosition="0">
        <references count="2">
          <reference field="4294967294" count="1" selected="0">
            <x v="0"/>
          </reference>
          <reference field="3" count="1" selected="0">
            <x v="4"/>
          </reference>
        </references>
      </pivotArea>
    </chartFormat>
    <chartFormat chart="1" format="9">
      <pivotArea type="data" outline="0" fieldPosition="0">
        <references count="2">
          <reference field="4294967294" count="1" selected="0">
            <x v="1"/>
          </reference>
          <reference field="3" count="1" selected="0">
            <x v="1"/>
          </reference>
        </references>
      </pivotArea>
    </chartFormat>
    <chartFormat chart="1" format="10">
      <pivotArea type="data" outline="0" fieldPosition="0">
        <references count="2">
          <reference field="4294967294" count="1" selected="0">
            <x v="1"/>
          </reference>
          <reference field="3" count="1" selected="0">
            <x v="0"/>
          </reference>
        </references>
      </pivotArea>
    </chartFormat>
    <chartFormat chart="1" format="11">
      <pivotArea type="data" outline="0" fieldPosition="0">
        <references count="2">
          <reference field="4294967294" count="1" selected="0">
            <x v="1"/>
          </reference>
          <reference field="3" count="1" selected="0">
            <x v="3"/>
          </reference>
        </references>
      </pivotArea>
    </chartFormat>
    <chartFormat chart="1" format="12">
      <pivotArea type="data" outline="0" fieldPosition="0">
        <references count="2">
          <reference field="4294967294" count="1" selected="0">
            <x v="1"/>
          </reference>
          <reference field="3" count="1" selected="0">
            <x v="2"/>
          </reference>
        </references>
      </pivotArea>
    </chartFormat>
    <chartFormat chart="1" format="13">
      <pivotArea type="data" outline="0" fieldPosition="0">
        <references count="2">
          <reference field="4294967294" count="1" selected="0">
            <x v="1"/>
          </reference>
          <reference field="3" count="1" selected="0">
            <x v="4"/>
          </reference>
        </references>
      </pivotArea>
    </chartFormat>
    <chartFormat chart="1" format="14">
      <pivotArea type="data" outline="0" fieldPosition="0">
        <references count="2">
          <reference field="4294967294" count="1" selected="0">
            <x v="2"/>
          </reference>
          <reference field="3" count="1" selected="0">
            <x v="1"/>
          </reference>
        </references>
      </pivotArea>
    </chartFormat>
    <chartFormat chart="1" format="15">
      <pivotArea type="data" outline="0" fieldPosition="0">
        <references count="2">
          <reference field="4294967294" count="1" selected="0">
            <x v="2"/>
          </reference>
          <reference field="3" count="1" selected="0">
            <x v="0"/>
          </reference>
        </references>
      </pivotArea>
    </chartFormat>
    <chartFormat chart="1" format="16">
      <pivotArea type="data" outline="0" fieldPosition="0">
        <references count="2">
          <reference field="4294967294" count="1" selected="0">
            <x v="2"/>
          </reference>
          <reference field="3" count="1" selected="0">
            <x v="3"/>
          </reference>
        </references>
      </pivotArea>
    </chartFormat>
    <chartFormat chart="1" format="17">
      <pivotArea type="data" outline="0" fieldPosition="0">
        <references count="2">
          <reference field="4294967294" count="1" selected="0">
            <x v="2"/>
          </reference>
          <reference field="3" count="1" selected="0">
            <x v="2"/>
          </reference>
        </references>
      </pivotArea>
    </chartFormat>
    <chartFormat chart="1" format="18">
      <pivotArea type="data" outline="0" fieldPosition="0">
        <references count="2">
          <reference field="4294967294" count="1" selected="0">
            <x v="2"/>
          </reference>
          <reference field="3" count="1" selected="0">
            <x v="4"/>
          </reference>
        </references>
      </pivotArea>
    </chartFormat>
    <chartFormat chart="1" format="19">
      <pivotArea type="data" outline="0" fieldPosition="0">
        <references count="2">
          <reference field="4294967294" count="1" selected="0">
            <x v="3"/>
          </reference>
          <reference field="3" count="1" selected="0">
            <x v="1"/>
          </reference>
        </references>
      </pivotArea>
    </chartFormat>
    <chartFormat chart="1" format="20">
      <pivotArea type="data" outline="0" fieldPosition="0">
        <references count="2">
          <reference field="4294967294" count="1" selected="0">
            <x v="3"/>
          </reference>
          <reference field="3" count="1" selected="0">
            <x v="0"/>
          </reference>
        </references>
      </pivotArea>
    </chartFormat>
    <chartFormat chart="1" format="21">
      <pivotArea type="data" outline="0" fieldPosition="0">
        <references count="2">
          <reference field="4294967294" count="1" selected="0">
            <x v="3"/>
          </reference>
          <reference field="3" count="1" selected="0">
            <x v="3"/>
          </reference>
        </references>
      </pivotArea>
    </chartFormat>
    <chartFormat chart="1" format="22">
      <pivotArea type="data" outline="0" fieldPosition="0">
        <references count="2">
          <reference field="4294967294" count="1" selected="0">
            <x v="3"/>
          </reference>
          <reference field="3" count="1" selected="0">
            <x v="2"/>
          </reference>
        </references>
      </pivotArea>
    </chartFormat>
    <chartFormat chart="1" format="23">
      <pivotArea type="data" outline="0" fieldPosition="0">
        <references count="2">
          <reference field="4294967294" count="1" selected="0">
            <x v="3"/>
          </reference>
          <reference field="3" count="1" selected="0">
            <x v="4"/>
          </reference>
        </references>
      </pivotArea>
    </chartFormat>
    <chartFormat chart="7" format="96" series="1">
      <pivotArea type="data" outline="0" fieldPosition="0">
        <references count="1">
          <reference field="4294967294" count="1" selected="0">
            <x v="0"/>
          </reference>
        </references>
      </pivotArea>
    </chartFormat>
    <chartFormat chart="7" format="97">
      <pivotArea type="data" outline="0" fieldPosition="0">
        <references count="2">
          <reference field="4294967294" count="1" selected="0">
            <x v="0"/>
          </reference>
          <reference field="3" count="1" selected="0">
            <x v="1"/>
          </reference>
        </references>
      </pivotArea>
    </chartFormat>
    <chartFormat chart="7" format="98">
      <pivotArea type="data" outline="0" fieldPosition="0">
        <references count="2">
          <reference field="4294967294" count="1" selected="0">
            <x v="0"/>
          </reference>
          <reference field="3" count="1" selected="0">
            <x v="0"/>
          </reference>
        </references>
      </pivotArea>
    </chartFormat>
    <chartFormat chart="7" format="99">
      <pivotArea type="data" outline="0" fieldPosition="0">
        <references count="2">
          <reference field="4294967294" count="1" selected="0">
            <x v="0"/>
          </reference>
          <reference field="3" count="1" selected="0">
            <x v="3"/>
          </reference>
        </references>
      </pivotArea>
    </chartFormat>
    <chartFormat chart="7" format="100">
      <pivotArea type="data" outline="0" fieldPosition="0">
        <references count="2">
          <reference field="4294967294" count="1" selected="0">
            <x v="0"/>
          </reference>
          <reference field="3" count="1" selected="0">
            <x v="2"/>
          </reference>
        </references>
      </pivotArea>
    </chartFormat>
    <chartFormat chart="7" format="101">
      <pivotArea type="data" outline="0" fieldPosition="0">
        <references count="2">
          <reference field="4294967294" count="1" selected="0">
            <x v="0"/>
          </reference>
          <reference field="3" count="1" selected="0">
            <x v="4"/>
          </reference>
        </references>
      </pivotArea>
    </chartFormat>
    <chartFormat chart="7" format="102" series="1">
      <pivotArea type="data" outline="0" fieldPosition="0">
        <references count="1">
          <reference field="4294967294" count="1" selected="0">
            <x v="1"/>
          </reference>
        </references>
      </pivotArea>
    </chartFormat>
    <chartFormat chart="7" format="103">
      <pivotArea type="data" outline="0" fieldPosition="0">
        <references count="2">
          <reference field="4294967294" count="1" selected="0">
            <x v="1"/>
          </reference>
          <reference field="3" count="1" selected="0">
            <x v="1"/>
          </reference>
        </references>
      </pivotArea>
    </chartFormat>
    <chartFormat chart="7" format="104">
      <pivotArea type="data" outline="0" fieldPosition="0">
        <references count="2">
          <reference field="4294967294" count="1" selected="0">
            <x v="1"/>
          </reference>
          <reference field="3" count="1" selected="0">
            <x v="0"/>
          </reference>
        </references>
      </pivotArea>
    </chartFormat>
    <chartFormat chart="7" format="105">
      <pivotArea type="data" outline="0" fieldPosition="0">
        <references count="2">
          <reference field="4294967294" count="1" selected="0">
            <x v="1"/>
          </reference>
          <reference field="3" count="1" selected="0">
            <x v="3"/>
          </reference>
        </references>
      </pivotArea>
    </chartFormat>
    <chartFormat chart="7" format="106">
      <pivotArea type="data" outline="0" fieldPosition="0">
        <references count="2">
          <reference field="4294967294" count="1" selected="0">
            <x v="1"/>
          </reference>
          <reference field="3" count="1" selected="0">
            <x v="2"/>
          </reference>
        </references>
      </pivotArea>
    </chartFormat>
    <chartFormat chart="7" format="107">
      <pivotArea type="data" outline="0" fieldPosition="0">
        <references count="2">
          <reference field="4294967294" count="1" selected="0">
            <x v="1"/>
          </reference>
          <reference field="3" count="1" selected="0">
            <x v="4"/>
          </reference>
        </references>
      </pivotArea>
    </chartFormat>
    <chartFormat chart="7" format="108" series="1">
      <pivotArea type="data" outline="0" fieldPosition="0">
        <references count="1">
          <reference field="4294967294" count="1" selected="0">
            <x v="2"/>
          </reference>
        </references>
      </pivotArea>
    </chartFormat>
    <chartFormat chart="7" format="109">
      <pivotArea type="data" outline="0" fieldPosition="0">
        <references count="2">
          <reference field="4294967294" count="1" selected="0">
            <x v="2"/>
          </reference>
          <reference field="3" count="1" selected="0">
            <x v="1"/>
          </reference>
        </references>
      </pivotArea>
    </chartFormat>
    <chartFormat chart="7" format="110">
      <pivotArea type="data" outline="0" fieldPosition="0">
        <references count="2">
          <reference field="4294967294" count="1" selected="0">
            <x v="2"/>
          </reference>
          <reference field="3" count="1" selected="0">
            <x v="0"/>
          </reference>
        </references>
      </pivotArea>
    </chartFormat>
    <chartFormat chart="7" format="111">
      <pivotArea type="data" outline="0" fieldPosition="0">
        <references count="2">
          <reference field="4294967294" count="1" selected="0">
            <x v="2"/>
          </reference>
          <reference field="3" count="1" selected="0">
            <x v="3"/>
          </reference>
        </references>
      </pivotArea>
    </chartFormat>
    <chartFormat chart="7" format="112">
      <pivotArea type="data" outline="0" fieldPosition="0">
        <references count="2">
          <reference field="4294967294" count="1" selected="0">
            <x v="2"/>
          </reference>
          <reference field="3" count="1" selected="0">
            <x v="2"/>
          </reference>
        </references>
      </pivotArea>
    </chartFormat>
    <chartFormat chart="7" format="113">
      <pivotArea type="data" outline="0" fieldPosition="0">
        <references count="2">
          <reference field="4294967294" count="1" selected="0">
            <x v="2"/>
          </reference>
          <reference field="3" count="1" selected="0">
            <x v="4"/>
          </reference>
        </references>
      </pivotArea>
    </chartFormat>
    <chartFormat chart="7" format="114" series="1">
      <pivotArea type="data" outline="0" fieldPosition="0">
        <references count="1">
          <reference field="4294967294" count="1" selected="0">
            <x v="3"/>
          </reference>
        </references>
      </pivotArea>
    </chartFormat>
    <chartFormat chart="7" format="115">
      <pivotArea type="data" outline="0" fieldPosition="0">
        <references count="2">
          <reference field="4294967294" count="1" selected="0">
            <x v="3"/>
          </reference>
          <reference field="3" count="1" selected="0">
            <x v="1"/>
          </reference>
        </references>
      </pivotArea>
    </chartFormat>
    <chartFormat chart="7" format="116">
      <pivotArea type="data" outline="0" fieldPosition="0">
        <references count="2">
          <reference field="4294967294" count="1" selected="0">
            <x v="3"/>
          </reference>
          <reference field="3" count="1" selected="0">
            <x v="0"/>
          </reference>
        </references>
      </pivotArea>
    </chartFormat>
    <chartFormat chart="7" format="117">
      <pivotArea type="data" outline="0" fieldPosition="0">
        <references count="2">
          <reference field="4294967294" count="1" selected="0">
            <x v="3"/>
          </reference>
          <reference field="3" count="1" selected="0">
            <x v="3"/>
          </reference>
        </references>
      </pivotArea>
    </chartFormat>
    <chartFormat chart="7" format="118">
      <pivotArea type="data" outline="0" fieldPosition="0">
        <references count="2">
          <reference field="4294967294" count="1" selected="0">
            <x v="3"/>
          </reference>
          <reference field="3" count="1" selected="0">
            <x v="2"/>
          </reference>
        </references>
      </pivotArea>
    </chartFormat>
    <chartFormat chart="7" format="119">
      <pivotArea type="data" outline="0" fieldPosition="0">
        <references count="2">
          <reference field="4294967294" count="1" selected="0">
            <x v="3"/>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A0AF2D3-EFF4-4286-8FB5-9A972E5E11DA}"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Kategori">
  <location ref="G82:H88" firstHeaderRow="1" firstDataRow="1" firstDataCol="1"/>
  <pivotFields count="12">
    <pivotField showAll="0"/>
    <pivotField numFmtId="165" showAll="0"/>
    <pivotField showAll="0"/>
    <pivotField axis="axisRow" showAll="0" sortType="descending">
      <items count="6">
        <item x="3"/>
        <item x="4"/>
        <item x="0"/>
        <item x="2"/>
        <item x="1"/>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dataField="1" numFmtId="164" showAll="0"/>
    <pivotField showAll="0"/>
    <pivotField showAll="0"/>
    <pivotField showAll="0"/>
    <pivotField showAll="0" defaultSubtotal="0"/>
  </pivotFields>
  <rowFields count="1">
    <field x="3"/>
  </rowFields>
  <rowItems count="6">
    <i>
      <x v="1"/>
    </i>
    <i>
      <x/>
    </i>
    <i>
      <x v="3"/>
    </i>
    <i>
      <x v="2"/>
    </i>
    <i>
      <x v="4"/>
    </i>
    <i t="grand">
      <x/>
    </i>
  </rowItems>
  <colItems count="1">
    <i/>
  </colItems>
  <dataFields count="1">
    <dataField name="Total Penjualan" fld="7" baseField="0" baseItem="0" numFmtId="169"/>
  </dataFields>
  <formats count="3">
    <format dxfId="4139">
      <pivotArea outline="0" collapsedLevelsAreSubtotals="1" fieldPosition="0"/>
    </format>
    <format dxfId="4138">
      <pivotArea dataOnly="0" labelOnly="1" outline="0" fieldPosition="0">
        <references count="1">
          <reference field="4294967294" count="1">
            <x v="0"/>
          </reference>
        </references>
      </pivotArea>
    </format>
    <format dxfId="4137">
      <pivotArea outline="0" fieldPosition="0">
        <references count="1">
          <reference field="4294967294" count="1">
            <x v="0"/>
          </reference>
        </references>
      </pivotArea>
    </format>
  </formats>
  <chartFormats count="8">
    <chartFormat chart="1" format="0"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3" count="1" selected="0">
            <x v="1"/>
          </reference>
        </references>
      </pivotArea>
    </chartFormat>
    <chartFormat chart="1" format="5">
      <pivotArea type="data" outline="0" fieldPosition="0">
        <references count="2">
          <reference field="4294967294" count="1" selected="0">
            <x v="0"/>
          </reference>
          <reference field="3" count="1" selected="0">
            <x v="0"/>
          </reference>
        </references>
      </pivotArea>
    </chartFormat>
    <chartFormat chart="1" format="6">
      <pivotArea type="data" outline="0" fieldPosition="0">
        <references count="2">
          <reference field="4294967294" count="1" selected="0">
            <x v="0"/>
          </reference>
          <reference field="3" count="1" selected="0">
            <x v="3"/>
          </reference>
        </references>
      </pivotArea>
    </chartFormat>
    <chartFormat chart="1" format="7">
      <pivotArea type="data" outline="0" fieldPosition="0">
        <references count="2">
          <reference field="4294967294" count="1" selected="0">
            <x v="0"/>
          </reference>
          <reference field="3" count="1" selected="0">
            <x v="2"/>
          </reference>
        </references>
      </pivotArea>
    </chartFormat>
    <chartFormat chart="1" format="8">
      <pivotArea type="data" outline="0" fieldPosition="0">
        <references count="2">
          <reference field="4294967294" count="1" selected="0">
            <x v="0"/>
          </reference>
          <reference field="3" count="1" selected="0">
            <x v="4"/>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88C6A0F-47EE-4D06-B1F7-621C77776A49}"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77:E78" firstHeaderRow="1" firstDataRow="1" firstDataCol="0"/>
  <pivotFields count="12">
    <pivotField showAll="0"/>
    <pivotField numFmtId="165" showAll="0"/>
    <pivotField showAll="0">
      <items count="12">
        <item x="3"/>
        <item x="8"/>
        <item x="9"/>
        <item x="4"/>
        <item x="2"/>
        <item x="7"/>
        <item x="10"/>
        <item x="6"/>
        <item x="0"/>
        <item x="5"/>
        <item x="1"/>
        <item t="default"/>
      </items>
    </pivotField>
    <pivotField showAll="0">
      <items count="6">
        <item x="3"/>
        <item x="4"/>
        <item x="0"/>
        <item x="2"/>
        <item x="1"/>
        <item t="default"/>
      </items>
    </pivotField>
    <pivotField showAll="0"/>
    <pivotField showAll="0"/>
    <pivotField numFmtId="164" showAll="0"/>
    <pivotField dataField="1" numFmtId="164" showAll="0">
      <items count="198">
        <item x="74"/>
        <item x="180"/>
        <item x="110"/>
        <item x="133"/>
        <item x="189"/>
        <item x="22"/>
        <item x="177"/>
        <item x="105"/>
        <item x="150"/>
        <item x="97"/>
        <item x="129"/>
        <item x="27"/>
        <item x="70"/>
        <item x="135"/>
        <item x="37"/>
        <item x="160"/>
        <item x="83"/>
        <item x="119"/>
        <item x="196"/>
        <item x="92"/>
        <item x="31"/>
        <item x="98"/>
        <item x="35"/>
        <item x="2"/>
        <item x="127"/>
        <item x="147"/>
        <item x="61"/>
        <item x="15"/>
        <item x="159"/>
        <item x="33"/>
        <item x="120"/>
        <item x="23"/>
        <item x="29"/>
        <item x="93"/>
        <item x="153"/>
        <item x="67"/>
        <item x="50"/>
        <item x="77"/>
        <item x="188"/>
        <item x="168"/>
        <item x="3"/>
        <item x="145"/>
        <item x="167"/>
        <item x="128"/>
        <item x="171"/>
        <item x="123"/>
        <item x="55"/>
        <item x="84"/>
        <item x="139"/>
        <item x="132"/>
        <item x="178"/>
        <item x="73"/>
        <item x="86"/>
        <item x="87"/>
        <item x="195"/>
        <item x="115"/>
        <item x="1"/>
        <item x="10"/>
        <item x="101"/>
        <item x="182"/>
        <item x="162"/>
        <item x="102"/>
        <item x="183"/>
        <item x="121"/>
        <item x="79"/>
        <item x="113"/>
        <item x="21"/>
        <item x="114"/>
        <item x="16"/>
        <item x="24"/>
        <item x="82"/>
        <item x="146"/>
        <item x="80"/>
        <item x="134"/>
        <item x="142"/>
        <item x="7"/>
        <item x="151"/>
        <item x="30"/>
        <item x="0"/>
        <item x="174"/>
        <item x="99"/>
        <item x="144"/>
        <item x="65"/>
        <item x="96"/>
        <item x="71"/>
        <item x="39"/>
        <item x="103"/>
        <item x="57"/>
        <item x="136"/>
        <item x="59"/>
        <item x="11"/>
        <item x="54"/>
        <item x="170"/>
        <item x="131"/>
        <item x="184"/>
        <item x="157"/>
        <item x="109"/>
        <item x="46"/>
        <item x="112"/>
        <item x="72"/>
        <item x="49"/>
        <item x="156"/>
        <item x="111"/>
        <item x="53"/>
        <item x="186"/>
        <item x="172"/>
        <item x="51"/>
        <item x="47"/>
        <item x="165"/>
        <item x="107"/>
        <item x="194"/>
        <item x="34"/>
        <item x="108"/>
        <item x="12"/>
        <item x="63"/>
        <item x="13"/>
        <item x="161"/>
        <item x="192"/>
        <item x="91"/>
        <item x="8"/>
        <item x="62"/>
        <item x="78"/>
        <item x="193"/>
        <item x="14"/>
        <item x="94"/>
        <item x="60"/>
        <item x="118"/>
        <item x="173"/>
        <item x="175"/>
        <item x="90"/>
        <item x="190"/>
        <item x="130"/>
        <item x="69"/>
        <item x="143"/>
        <item x="4"/>
        <item x="138"/>
        <item x="68"/>
        <item x="45"/>
        <item x="125"/>
        <item x="20"/>
        <item x="116"/>
        <item x="95"/>
        <item x="28"/>
        <item x="66"/>
        <item x="89"/>
        <item x="140"/>
        <item x="25"/>
        <item x="149"/>
        <item x="85"/>
        <item x="88"/>
        <item x="176"/>
        <item x="191"/>
        <item x="56"/>
        <item x="76"/>
        <item x="124"/>
        <item x="137"/>
        <item x="154"/>
        <item x="81"/>
        <item x="48"/>
        <item x="64"/>
        <item x="122"/>
        <item x="42"/>
        <item x="19"/>
        <item x="26"/>
        <item x="187"/>
        <item x="5"/>
        <item x="17"/>
        <item x="141"/>
        <item x="44"/>
        <item x="104"/>
        <item x="43"/>
        <item x="164"/>
        <item x="181"/>
        <item x="41"/>
        <item x="169"/>
        <item x="185"/>
        <item x="117"/>
        <item x="18"/>
        <item x="126"/>
        <item x="75"/>
        <item x="166"/>
        <item x="9"/>
        <item x="52"/>
        <item x="158"/>
        <item x="58"/>
        <item x="38"/>
        <item x="100"/>
        <item x="155"/>
        <item x="40"/>
        <item x="32"/>
        <item x="179"/>
        <item x="36"/>
        <item x="148"/>
        <item x="6"/>
        <item x="152"/>
        <item x="106"/>
        <item x="163"/>
        <item t="default"/>
      </items>
    </pivotField>
    <pivotField showAll="0">
      <items count="7">
        <item x="4"/>
        <item x="2"/>
        <item x="1"/>
        <item x="5"/>
        <item x="0"/>
        <item x="3"/>
        <item t="default"/>
      </items>
    </pivotField>
    <pivotField showAll="0">
      <items count="4">
        <item x="1"/>
        <item x="2"/>
        <item x="0"/>
        <item t="default"/>
      </items>
    </pivotField>
    <pivotField showAll="0">
      <items count="25">
        <item m="1" x="16"/>
        <item m="1" x="13"/>
        <item m="1" x="17"/>
        <item m="1" x="22"/>
        <item m="1" x="12"/>
        <item m="1" x="14"/>
        <item m="1" x="15"/>
        <item m="1" x="18"/>
        <item m="1" x="19"/>
        <item m="1" x="20"/>
        <item m="1" x="21"/>
        <item m="1" x="23"/>
        <item x="0"/>
        <item x="1"/>
        <item x="2"/>
        <item x="3"/>
        <item x="4"/>
        <item x="5"/>
        <item x="6"/>
        <item x="7"/>
        <item x="8"/>
        <item x="9"/>
        <item x="10"/>
        <item x="11"/>
        <item t="default"/>
      </items>
    </pivotField>
    <pivotField showAll="0" defaultSubtotal="0"/>
  </pivotFields>
  <rowItems count="1">
    <i/>
  </rowItems>
  <colItems count="1">
    <i/>
  </colItems>
  <dataFields count="1">
    <dataField name="AOV Penjualan" fld="7" subtotal="average" baseField="0" baseItem="0" numFmtId="169"/>
  </dataFields>
  <formats count="11">
    <format dxfId="3966">
      <pivotArea type="all" dataOnly="0" outline="0" fieldPosition="0"/>
    </format>
    <format dxfId="3965">
      <pivotArea outline="0" collapsedLevelsAreSubtotals="1" fieldPosition="0"/>
    </format>
    <format dxfId="3964">
      <pivotArea dataOnly="0" labelOnly="1" outline="0" axis="axisValues" fieldPosition="0"/>
    </format>
    <format dxfId="3963">
      <pivotArea type="all" dataOnly="0" outline="0" fieldPosition="0"/>
    </format>
    <format dxfId="3962">
      <pivotArea outline="0" collapsedLevelsAreSubtotals="1" fieldPosition="0"/>
    </format>
    <format dxfId="3961">
      <pivotArea dataOnly="0" labelOnly="1" outline="0" axis="axisValues" fieldPosition="0"/>
    </format>
    <format dxfId="3960">
      <pivotArea outline="0" collapsedLevelsAreSubtotals="1" fieldPosition="0"/>
    </format>
    <format dxfId="3959">
      <pivotArea outline="0" collapsedLevelsAreSubtotals="1" fieldPosition="0"/>
    </format>
    <format dxfId="3958">
      <pivotArea dataOnly="0" labelOnly="1" outline="0" axis="axisValues" fieldPosition="0"/>
    </format>
    <format dxfId="3957">
      <pivotArea dataOnly="0" labelOnly="1" outline="0" axis="axisValues" fieldPosition="0"/>
    </format>
    <format dxfId="3956">
      <pivotArea dataOnly="0" labelOnly="1" outline="0" axis="axisValues" fieldPosition="0"/>
    </format>
  </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81F769E-9800-40AA-A1B7-2D216151F0E6}"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outline="1" outlineData="1" compactData="0" multipleFieldFilters="0">
  <location ref="E74:E75" firstHeaderRow="1" firstDataRow="1" firstDataCol="0"/>
  <pivotFields count="12">
    <pivotField compact="0" subtotalTop="0" showAll="0"/>
    <pivotField compact="0" numFmtId="165" subtotalTop="0" showAll="0"/>
    <pivotField compact="0" subtotalTop="0" showAll="0">
      <items count="12">
        <item x="3"/>
        <item x="8"/>
        <item x="9"/>
        <item x="4"/>
        <item x="2"/>
        <item x="7"/>
        <item x="10"/>
        <item x="6"/>
        <item x="0"/>
        <item x="5"/>
        <item x="1"/>
        <item t="default"/>
      </items>
    </pivotField>
    <pivotField compact="0" subtotalTop="0" showAll="0">
      <items count="6">
        <item x="3"/>
        <item x="4"/>
        <item x="0"/>
        <item x="2"/>
        <item x="1"/>
        <item t="default"/>
      </items>
    </pivotField>
    <pivotField compact="0" subtotalTop="0" showAll="0"/>
    <pivotField compact="0" subtotalTop="0" showAll="0"/>
    <pivotField compact="0" numFmtId="164" subtotalTop="0" showAll="0"/>
    <pivotField dataField="1" compact="0" numFmtId="164" subtotalTop="0" showAll="0">
      <items count="198">
        <item x="74"/>
        <item x="180"/>
        <item x="110"/>
        <item x="133"/>
        <item x="189"/>
        <item x="22"/>
        <item x="177"/>
        <item x="105"/>
        <item x="150"/>
        <item x="97"/>
        <item x="129"/>
        <item x="27"/>
        <item x="70"/>
        <item x="135"/>
        <item x="37"/>
        <item x="160"/>
        <item x="83"/>
        <item x="119"/>
        <item x="196"/>
        <item x="92"/>
        <item x="31"/>
        <item x="98"/>
        <item x="35"/>
        <item x="2"/>
        <item x="127"/>
        <item x="147"/>
        <item x="61"/>
        <item x="15"/>
        <item x="159"/>
        <item x="33"/>
        <item x="120"/>
        <item x="23"/>
        <item x="29"/>
        <item x="93"/>
        <item x="153"/>
        <item x="67"/>
        <item x="50"/>
        <item x="77"/>
        <item x="188"/>
        <item x="168"/>
        <item x="3"/>
        <item x="145"/>
        <item x="167"/>
        <item x="128"/>
        <item x="171"/>
        <item x="123"/>
        <item x="55"/>
        <item x="84"/>
        <item x="139"/>
        <item x="132"/>
        <item x="178"/>
        <item x="73"/>
        <item x="86"/>
        <item x="87"/>
        <item x="195"/>
        <item x="115"/>
        <item x="1"/>
        <item x="10"/>
        <item x="101"/>
        <item x="182"/>
        <item x="162"/>
        <item x="102"/>
        <item x="183"/>
        <item x="121"/>
        <item x="79"/>
        <item x="113"/>
        <item x="21"/>
        <item x="114"/>
        <item x="16"/>
        <item x="24"/>
        <item x="82"/>
        <item x="146"/>
        <item x="80"/>
        <item x="134"/>
        <item x="142"/>
        <item x="7"/>
        <item x="151"/>
        <item x="30"/>
        <item x="0"/>
        <item x="174"/>
        <item x="99"/>
        <item x="144"/>
        <item x="65"/>
        <item x="96"/>
        <item x="71"/>
        <item x="39"/>
        <item x="103"/>
        <item x="57"/>
        <item x="136"/>
        <item x="59"/>
        <item x="11"/>
        <item x="54"/>
        <item x="170"/>
        <item x="131"/>
        <item x="184"/>
        <item x="157"/>
        <item x="109"/>
        <item x="46"/>
        <item x="112"/>
        <item x="72"/>
        <item x="49"/>
        <item x="156"/>
        <item x="111"/>
        <item x="53"/>
        <item x="186"/>
        <item x="172"/>
        <item x="51"/>
        <item x="47"/>
        <item x="165"/>
        <item x="107"/>
        <item x="194"/>
        <item x="34"/>
        <item x="108"/>
        <item x="12"/>
        <item x="63"/>
        <item x="13"/>
        <item x="161"/>
        <item x="192"/>
        <item x="91"/>
        <item x="8"/>
        <item x="62"/>
        <item x="78"/>
        <item x="193"/>
        <item x="14"/>
        <item x="94"/>
        <item x="60"/>
        <item x="118"/>
        <item x="173"/>
        <item x="175"/>
        <item x="90"/>
        <item x="190"/>
        <item x="130"/>
        <item x="69"/>
        <item x="143"/>
        <item x="4"/>
        <item x="138"/>
        <item x="68"/>
        <item x="45"/>
        <item x="125"/>
        <item x="20"/>
        <item x="116"/>
        <item x="95"/>
        <item x="28"/>
        <item x="66"/>
        <item x="89"/>
        <item x="140"/>
        <item x="25"/>
        <item x="149"/>
        <item x="85"/>
        <item x="88"/>
        <item x="176"/>
        <item x="191"/>
        <item x="56"/>
        <item x="76"/>
        <item x="124"/>
        <item x="137"/>
        <item x="154"/>
        <item x="81"/>
        <item x="48"/>
        <item x="64"/>
        <item x="122"/>
        <item x="42"/>
        <item x="19"/>
        <item x="26"/>
        <item x="187"/>
        <item x="5"/>
        <item x="17"/>
        <item x="141"/>
        <item x="44"/>
        <item x="104"/>
        <item x="43"/>
        <item x="164"/>
        <item x="181"/>
        <item x="41"/>
        <item x="169"/>
        <item x="185"/>
        <item x="117"/>
        <item x="18"/>
        <item x="126"/>
        <item x="75"/>
        <item x="166"/>
        <item x="9"/>
        <item x="52"/>
        <item x="158"/>
        <item x="58"/>
        <item x="38"/>
        <item x="100"/>
        <item x="155"/>
        <item x="40"/>
        <item x="32"/>
        <item x="179"/>
        <item x="36"/>
        <item x="148"/>
        <item x="6"/>
        <item x="152"/>
        <item x="106"/>
        <item x="163"/>
        <item t="default"/>
      </items>
    </pivotField>
    <pivotField compact="0" subtotalTop="0" showAll="0">
      <items count="7">
        <item x="4"/>
        <item x="2"/>
        <item x="1"/>
        <item x="5"/>
        <item x="0"/>
        <item x="3"/>
        <item t="default"/>
      </items>
    </pivotField>
    <pivotField compact="0" subtotalTop="0" showAll="0">
      <items count="4">
        <item x="1"/>
        <item x="2"/>
        <item x="0"/>
        <item t="default"/>
      </items>
    </pivotField>
    <pivotField compact="0" subtotalTop="0" showAll="0">
      <items count="25">
        <item m="1" x="16"/>
        <item m="1" x="13"/>
        <item m="1" x="17"/>
        <item m="1" x="22"/>
        <item m="1" x="12"/>
        <item m="1" x="14"/>
        <item m="1" x="15"/>
        <item m="1" x="18"/>
        <item m="1" x="19"/>
        <item m="1" x="20"/>
        <item m="1" x="21"/>
        <item m="1" x="23"/>
        <item x="0"/>
        <item x="1"/>
        <item x="2"/>
        <item x="3"/>
        <item x="4"/>
        <item x="5"/>
        <item x="6"/>
        <item x="7"/>
        <item x="8"/>
        <item x="9"/>
        <item x="10"/>
        <item x="11"/>
        <item t="default"/>
      </items>
    </pivotField>
    <pivotField compact="0" subtotalTop="0" showAll="0"/>
  </pivotFields>
  <rowItems count="1">
    <i/>
  </rowItems>
  <colItems count="1">
    <i/>
  </colItems>
  <dataFields count="1">
    <dataField name="Total Penjualan" fld="7" baseField="0" baseItem="0" numFmtId="169"/>
  </dataFields>
  <formats count="18">
    <format dxfId="3984">
      <pivotArea dataOnly="0" labelOnly="1" outline="0" axis="axisValues" fieldPosition="0"/>
    </format>
    <format dxfId="3983">
      <pivotArea dataOnly="0" labelOnly="1" outline="0" axis="axisValues" fieldPosition="0"/>
    </format>
    <format dxfId="3982">
      <pivotArea dataOnly="0" labelOnly="1" outline="0" axis="axisValues" fieldPosition="0"/>
    </format>
    <format dxfId="3981">
      <pivotArea type="all" dataOnly="0" outline="0" fieldPosition="0"/>
    </format>
    <format dxfId="3980">
      <pivotArea outline="0" collapsedLevelsAreSubtotals="1" fieldPosition="0"/>
    </format>
    <format dxfId="3979">
      <pivotArea dataOnly="0" labelOnly="1" outline="0" axis="axisValues" fieldPosition="0"/>
    </format>
    <format dxfId="3978">
      <pivotArea type="all" dataOnly="0" outline="0" fieldPosition="0"/>
    </format>
    <format dxfId="3977">
      <pivotArea outline="0" collapsedLevelsAreSubtotals="1" fieldPosition="0"/>
    </format>
    <format dxfId="3976">
      <pivotArea dataOnly="0" labelOnly="1" outline="0" axis="axisValues" fieldPosition="0"/>
    </format>
    <format dxfId="3975">
      <pivotArea type="all" dataOnly="0" outline="0" fieldPosition="0"/>
    </format>
    <format dxfId="3974">
      <pivotArea outline="0" collapsedLevelsAreSubtotals="1" fieldPosition="0"/>
    </format>
    <format dxfId="3973">
      <pivotArea dataOnly="0" labelOnly="1" outline="0" axis="axisValues" fieldPosition="0"/>
    </format>
    <format dxfId="3972">
      <pivotArea dataOnly="0" outline="0" axis="axisValues" fieldPosition="0"/>
    </format>
    <format dxfId="3971">
      <pivotArea outline="0" collapsedLevelsAreSubtotals="1" fieldPosition="0"/>
    </format>
    <format dxfId="3970">
      <pivotArea dataOnly="0" labelOnly="1" outline="0" axis="axisValues" fieldPosition="0"/>
    </format>
    <format dxfId="3969">
      <pivotArea dataOnly="0" labelOnly="1" outline="0" axis="axisValues" fieldPosition="0"/>
    </format>
    <format dxfId="3968">
      <pivotArea dataOnly="0" labelOnly="1" outline="0" axis="axisValues" fieldPosition="0"/>
    </format>
    <format dxfId="3967">
      <pivotArea dataOnly="0" labelOnly="1" outline="0" axis="axisValues" fieldPosition="0"/>
    </format>
  </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92A9620-627B-4665-BBDD-EAF782153C4B}"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83:E84" firstHeaderRow="1" firstDataRow="1" firstDataCol="0"/>
  <pivotFields count="12">
    <pivotField showAll="0"/>
    <pivotField numFmtId="165" showAll="0"/>
    <pivotField showAll="0">
      <items count="12">
        <item x="3"/>
        <item x="8"/>
        <item x="9"/>
        <item x="4"/>
        <item x="2"/>
        <item x="7"/>
        <item x="10"/>
        <item x="6"/>
        <item x="0"/>
        <item x="5"/>
        <item x="1"/>
        <item t="default"/>
      </items>
    </pivotField>
    <pivotField showAll="0">
      <items count="6">
        <item x="3"/>
        <item x="4"/>
        <item x="0"/>
        <item x="2"/>
        <item x="1"/>
        <item t="default"/>
      </items>
    </pivotField>
    <pivotField showAll="0"/>
    <pivotField dataField="1" showAll="0"/>
    <pivotField numFmtId="164" showAll="0"/>
    <pivotField numFmtId="164" showAll="0">
      <items count="198">
        <item x="74"/>
        <item x="180"/>
        <item x="110"/>
        <item x="133"/>
        <item x="189"/>
        <item x="22"/>
        <item x="177"/>
        <item x="105"/>
        <item x="150"/>
        <item x="97"/>
        <item x="129"/>
        <item x="27"/>
        <item x="70"/>
        <item x="135"/>
        <item x="37"/>
        <item x="160"/>
        <item x="83"/>
        <item x="119"/>
        <item x="196"/>
        <item x="92"/>
        <item x="31"/>
        <item x="98"/>
        <item x="35"/>
        <item x="2"/>
        <item x="127"/>
        <item x="147"/>
        <item x="61"/>
        <item x="15"/>
        <item x="159"/>
        <item x="33"/>
        <item x="120"/>
        <item x="23"/>
        <item x="29"/>
        <item x="93"/>
        <item x="153"/>
        <item x="67"/>
        <item x="50"/>
        <item x="77"/>
        <item x="188"/>
        <item x="168"/>
        <item x="3"/>
        <item x="145"/>
        <item x="167"/>
        <item x="128"/>
        <item x="171"/>
        <item x="123"/>
        <item x="55"/>
        <item x="84"/>
        <item x="139"/>
        <item x="132"/>
        <item x="178"/>
        <item x="73"/>
        <item x="86"/>
        <item x="87"/>
        <item x="195"/>
        <item x="115"/>
        <item x="1"/>
        <item x="10"/>
        <item x="101"/>
        <item x="182"/>
        <item x="162"/>
        <item x="102"/>
        <item x="183"/>
        <item x="121"/>
        <item x="79"/>
        <item x="113"/>
        <item x="21"/>
        <item x="114"/>
        <item x="16"/>
        <item x="24"/>
        <item x="82"/>
        <item x="146"/>
        <item x="80"/>
        <item x="134"/>
        <item x="142"/>
        <item x="7"/>
        <item x="151"/>
        <item x="30"/>
        <item x="0"/>
        <item x="174"/>
        <item x="99"/>
        <item x="144"/>
        <item x="65"/>
        <item x="96"/>
        <item x="71"/>
        <item x="39"/>
        <item x="103"/>
        <item x="57"/>
        <item x="136"/>
        <item x="59"/>
        <item x="11"/>
        <item x="54"/>
        <item x="170"/>
        <item x="131"/>
        <item x="184"/>
        <item x="157"/>
        <item x="109"/>
        <item x="46"/>
        <item x="112"/>
        <item x="72"/>
        <item x="49"/>
        <item x="156"/>
        <item x="111"/>
        <item x="53"/>
        <item x="186"/>
        <item x="172"/>
        <item x="51"/>
        <item x="47"/>
        <item x="165"/>
        <item x="107"/>
        <item x="194"/>
        <item x="34"/>
        <item x="108"/>
        <item x="12"/>
        <item x="63"/>
        <item x="13"/>
        <item x="161"/>
        <item x="192"/>
        <item x="91"/>
        <item x="8"/>
        <item x="62"/>
        <item x="78"/>
        <item x="193"/>
        <item x="14"/>
        <item x="94"/>
        <item x="60"/>
        <item x="118"/>
        <item x="173"/>
        <item x="175"/>
        <item x="90"/>
        <item x="190"/>
        <item x="130"/>
        <item x="69"/>
        <item x="143"/>
        <item x="4"/>
        <item x="138"/>
        <item x="68"/>
        <item x="45"/>
        <item x="125"/>
        <item x="20"/>
        <item x="116"/>
        <item x="95"/>
        <item x="28"/>
        <item x="66"/>
        <item x="89"/>
        <item x="140"/>
        <item x="25"/>
        <item x="149"/>
        <item x="85"/>
        <item x="88"/>
        <item x="176"/>
        <item x="191"/>
        <item x="56"/>
        <item x="76"/>
        <item x="124"/>
        <item x="137"/>
        <item x="154"/>
        <item x="81"/>
        <item x="48"/>
        <item x="64"/>
        <item x="122"/>
        <item x="42"/>
        <item x="19"/>
        <item x="26"/>
        <item x="187"/>
        <item x="5"/>
        <item x="17"/>
        <item x="141"/>
        <item x="44"/>
        <item x="104"/>
        <item x="43"/>
        <item x="164"/>
        <item x="181"/>
        <item x="41"/>
        <item x="169"/>
        <item x="185"/>
        <item x="117"/>
        <item x="18"/>
        <item x="126"/>
        <item x="75"/>
        <item x="166"/>
        <item x="9"/>
        <item x="52"/>
        <item x="158"/>
        <item x="58"/>
        <item x="38"/>
        <item x="100"/>
        <item x="155"/>
        <item x="40"/>
        <item x="32"/>
        <item x="179"/>
        <item x="36"/>
        <item x="148"/>
        <item x="6"/>
        <item x="152"/>
        <item x="106"/>
        <item x="163"/>
        <item t="default"/>
      </items>
    </pivotField>
    <pivotField showAll="0">
      <items count="7">
        <item x="4"/>
        <item x="2"/>
        <item x="1"/>
        <item x="5"/>
        <item x="0"/>
        <item x="3"/>
        <item t="default"/>
      </items>
    </pivotField>
    <pivotField showAll="0">
      <items count="4">
        <item x="1"/>
        <item x="2"/>
        <item x="0"/>
        <item t="default"/>
      </items>
    </pivotField>
    <pivotField showAll="0">
      <items count="25">
        <item m="1" x="16"/>
        <item m="1" x="13"/>
        <item m="1" x="17"/>
        <item m="1" x="22"/>
        <item m="1" x="12"/>
        <item m="1" x="14"/>
        <item m="1" x="15"/>
        <item m="1" x="18"/>
        <item m="1" x="19"/>
        <item m="1" x="20"/>
        <item m="1" x="21"/>
        <item m="1" x="23"/>
        <item x="0"/>
        <item x="1"/>
        <item x="2"/>
        <item x="3"/>
        <item x="4"/>
        <item x="5"/>
        <item x="6"/>
        <item x="7"/>
        <item x="8"/>
        <item x="9"/>
        <item x="10"/>
        <item x="11"/>
        <item t="default"/>
      </items>
    </pivotField>
    <pivotField showAll="0" defaultSubtotal="0"/>
  </pivotFields>
  <rowItems count="1">
    <i/>
  </rowItems>
  <colItems count="1">
    <i/>
  </colItems>
  <dataFields count="1">
    <dataField name="Jumlah Item" fld="5" baseField="0" baseItem="0" numFmtId="172"/>
  </dataFields>
  <formats count="14">
    <format dxfId="3998">
      <pivotArea type="all" dataOnly="0" outline="0" fieldPosition="0"/>
    </format>
    <format dxfId="3997">
      <pivotArea outline="0" collapsedLevelsAreSubtotals="1" fieldPosition="0"/>
    </format>
    <format dxfId="3996">
      <pivotArea dataOnly="0" labelOnly="1" outline="0" axis="axisValues" fieldPosition="0"/>
    </format>
    <format dxfId="3995">
      <pivotArea type="all" dataOnly="0" outline="0" fieldPosition="0"/>
    </format>
    <format dxfId="3994">
      <pivotArea outline="0" collapsedLevelsAreSubtotals="1" fieldPosition="0"/>
    </format>
    <format dxfId="3993">
      <pivotArea dataOnly="0" labelOnly="1" outline="0" axis="axisValues" fieldPosition="0"/>
    </format>
    <format dxfId="3992">
      <pivotArea type="all" dataOnly="0" outline="0" fieldPosition="0"/>
    </format>
    <format dxfId="3991">
      <pivotArea outline="0" collapsedLevelsAreSubtotals="1" fieldPosition="0"/>
    </format>
    <format dxfId="3990">
      <pivotArea dataOnly="0" labelOnly="1" outline="0" axis="axisValues" fieldPosition="0"/>
    </format>
    <format dxfId="3989">
      <pivotArea type="all" dataOnly="0" outline="0" fieldPosition="0"/>
    </format>
    <format dxfId="3988">
      <pivotArea outline="0" collapsedLevelsAreSubtotals="1" fieldPosition="0"/>
    </format>
    <format dxfId="3987">
      <pivotArea dataOnly="0" labelOnly="1" outline="0" axis="axisValues" fieldPosition="0"/>
    </format>
    <format dxfId="3986">
      <pivotArea outline="0" collapsedLevelsAreSubtotals="1" fieldPosition="0"/>
    </format>
    <format dxfId="3985">
      <pivotArea dataOnly="0" labelOnly="1" outline="0" axis="axisValues" fieldPosition="0"/>
    </format>
  </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B01F629-33F4-4CC0-AF68-FD4FE666C8F7}"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80:E81" firstHeaderRow="1" firstDataRow="1" firstDataCol="0"/>
  <pivotFields count="12">
    <pivotField showAll="0"/>
    <pivotField numFmtId="165" showAll="0"/>
    <pivotField showAll="0">
      <items count="12">
        <item x="3"/>
        <item x="8"/>
        <item x="9"/>
        <item x="4"/>
        <item x="2"/>
        <item x="7"/>
        <item x="10"/>
        <item x="6"/>
        <item x="0"/>
        <item x="5"/>
        <item x="1"/>
        <item t="default"/>
      </items>
    </pivotField>
    <pivotField showAll="0">
      <items count="6">
        <item x="3"/>
        <item x="4"/>
        <item x="0"/>
        <item x="2"/>
        <item x="1"/>
        <item t="default"/>
      </items>
    </pivotField>
    <pivotField showAll="0"/>
    <pivotField showAll="0"/>
    <pivotField numFmtId="164" showAll="0"/>
    <pivotField dataField="1" numFmtId="164" showAll="0">
      <items count="198">
        <item x="74"/>
        <item x="180"/>
        <item x="110"/>
        <item x="133"/>
        <item x="189"/>
        <item x="22"/>
        <item x="177"/>
        <item x="105"/>
        <item x="150"/>
        <item x="97"/>
        <item x="129"/>
        <item x="27"/>
        <item x="70"/>
        <item x="135"/>
        <item x="37"/>
        <item x="160"/>
        <item x="83"/>
        <item x="119"/>
        <item x="196"/>
        <item x="92"/>
        <item x="31"/>
        <item x="98"/>
        <item x="35"/>
        <item x="2"/>
        <item x="127"/>
        <item x="147"/>
        <item x="61"/>
        <item x="15"/>
        <item x="159"/>
        <item x="33"/>
        <item x="120"/>
        <item x="23"/>
        <item x="29"/>
        <item x="93"/>
        <item x="153"/>
        <item x="67"/>
        <item x="50"/>
        <item x="77"/>
        <item x="188"/>
        <item x="168"/>
        <item x="3"/>
        <item x="145"/>
        <item x="167"/>
        <item x="128"/>
        <item x="171"/>
        <item x="123"/>
        <item x="55"/>
        <item x="84"/>
        <item x="139"/>
        <item x="132"/>
        <item x="178"/>
        <item x="73"/>
        <item x="86"/>
        <item x="87"/>
        <item x="195"/>
        <item x="115"/>
        <item x="1"/>
        <item x="10"/>
        <item x="101"/>
        <item x="182"/>
        <item x="162"/>
        <item x="102"/>
        <item x="183"/>
        <item x="121"/>
        <item x="79"/>
        <item x="113"/>
        <item x="21"/>
        <item x="114"/>
        <item x="16"/>
        <item x="24"/>
        <item x="82"/>
        <item x="146"/>
        <item x="80"/>
        <item x="134"/>
        <item x="142"/>
        <item x="7"/>
        <item x="151"/>
        <item x="30"/>
        <item x="0"/>
        <item x="174"/>
        <item x="99"/>
        <item x="144"/>
        <item x="65"/>
        <item x="96"/>
        <item x="71"/>
        <item x="39"/>
        <item x="103"/>
        <item x="57"/>
        <item x="136"/>
        <item x="59"/>
        <item x="11"/>
        <item x="54"/>
        <item x="170"/>
        <item x="131"/>
        <item x="184"/>
        <item x="157"/>
        <item x="109"/>
        <item x="46"/>
        <item x="112"/>
        <item x="72"/>
        <item x="49"/>
        <item x="156"/>
        <item x="111"/>
        <item x="53"/>
        <item x="186"/>
        <item x="172"/>
        <item x="51"/>
        <item x="47"/>
        <item x="165"/>
        <item x="107"/>
        <item x="194"/>
        <item x="34"/>
        <item x="108"/>
        <item x="12"/>
        <item x="63"/>
        <item x="13"/>
        <item x="161"/>
        <item x="192"/>
        <item x="91"/>
        <item x="8"/>
        <item x="62"/>
        <item x="78"/>
        <item x="193"/>
        <item x="14"/>
        <item x="94"/>
        <item x="60"/>
        <item x="118"/>
        <item x="173"/>
        <item x="175"/>
        <item x="90"/>
        <item x="190"/>
        <item x="130"/>
        <item x="69"/>
        <item x="143"/>
        <item x="4"/>
        <item x="138"/>
        <item x="68"/>
        <item x="45"/>
        <item x="125"/>
        <item x="20"/>
        <item x="116"/>
        <item x="95"/>
        <item x="28"/>
        <item x="66"/>
        <item x="89"/>
        <item x="140"/>
        <item x="25"/>
        <item x="149"/>
        <item x="85"/>
        <item x="88"/>
        <item x="176"/>
        <item x="191"/>
        <item x="56"/>
        <item x="76"/>
        <item x="124"/>
        <item x="137"/>
        <item x="154"/>
        <item x="81"/>
        <item x="48"/>
        <item x="64"/>
        <item x="122"/>
        <item x="42"/>
        <item x="19"/>
        <item x="26"/>
        <item x="187"/>
        <item x="5"/>
        <item x="17"/>
        <item x="141"/>
        <item x="44"/>
        <item x="104"/>
        <item x="43"/>
        <item x="164"/>
        <item x="181"/>
        <item x="41"/>
        <item x="169"/>
        <item x="185"/>
        <item x="117"/>
        <item x="18"/>
        <item x="126"/>
        <item x="75"/>
        <item x="166"/>
        <item x="9"/>
        <item x="52"/>
        <item x="158"/>
        <item x="58"/>
        <item x="38"/>
        <item x="100"/>
        <item x="155"/>
        <item x="40"/>
        <item x="32"/>
        <item x="179"/>
        <item x="36"/>
        <item x="148"/>
        <item x="6"/>
        <item x="152"/>
        <item x="106"/>
        <item x="163"/>
        <item t="default"/>
      </items>
    </pivotField>
    <pivotField showAll="0">
      <items count="7">
        <item x="4"/>
        <item x="2"/>
        <item x="1"/>
        <item x="5"/>
        <item x="0"/>
        <item x="3"/>
        <item t="default"/>
      </items>
    </pivotField>
    <pivotField showAll="0">
      <items count="4">
        <item x="1"/>
        <item x="2"/>
        <item x="0"/>
        <item t="default"/>
      </items>
    </pivotField>
    <pivotField showAll="0">
      <items count="25">
        <item m="1" x="16"/>
        <item m="1" x="13"/>
        <item m="1" x="17"/>
        <item m="1" x="22"/>
        <item m="1" x="12"/>
        <item m="1" x="14"/>
        <item m="1" x="15"/>
        <item m="1" x="18"/>
        <item m="1" x="19"/>
        <item m="1" x="20"/>
        <item m="1" x="21"/>
        <item m="1" x="23"/>
        <item x="0"/>
        <item x="1"/>
        <item x="2"/>
        <item x="3"/>
        <item x="4"/>
        <item x="5"/>
        <item x="6"/>
        <item x="7"/>
        <item x="8"/>
        <item x="9"/>
        <item x="10"/>
        <item x="11"/>
        <item t="default"/>
      </items>
    </pivotField>
    <pivotField showAll="0" defaultSubtotal="0"/>
  </pivotFields>
  <rowItems count="1">
    <i/>
  </rowItems>
  <colItems count="1">
    <i/>
  </colItems>
  <dataFields count="1">
    <dataField name="Transaksi" fld="7" subtotal="count" baseField="4" baseItem="1693253632" numFmtId="171"/>
  </dataFields>
  <formats count="13">
    <format dxfId="4011">
      <pivotArea type="all" dataOnly="0" outline="0" fieldPosition="0"/>
    </format>
    <format dxfId="4010">
      <pivotArea outline="0" collapsedLevelsAreSubtotals="1" fieldPosition="0"/>
    </format>
    <format dxfId="4009">
      <pivotArea dataOnly="0" labelOnly="1" outline="0" axis="axisValues" fieldPosition="0"/>
    </format>
    <format dxfId="4008">
      <pivotArea type="all" dataOnly="0" outline="0" fieldPosition="0"/>
    </format>
    <format dxfId="4007">
      <pivotArea outline="0" collapsedLevelsAreSubtotals="1" fieldPosition="0"/>
    </format>
    <format dxfId="4006">
      <pivotArea dataOnly="0" labelOnly="1" outline="0" axis="axisValues" fieldPosition="0"/>
    </format>
    <format dxfId="4005">
      <pivotArea type="all" dataOnly="0" outline="0" fieldPosition="0"/>
    </format>
    <format dxfId="4004">
      <pivotArea outline="0" collapsedLevelsAreSubtotals="1" fieldPosition="0"/>
    </format>
    <format dxfId="4003">
      <pivotArea dataOnly="0" labelOnly="1" outline="0" axis="axisValues" fieldPosition="0"/>
    </format>
    <format dxfId="4002">
      <pivotArea type="all" dataOnly="0" outline="0" fieldPosition="0"/>
    </format>
    <format dxfId="4001">
      <pivotArea dataOnly="0" labelOnly="1" outline="0" axis="axisValues" fieldPosition="0"/>
    </format>
    <format dxfId="4000">
      <pivotArea dataOnly="0" labelOnly="1" outline="0" axis="axisValues" fieldPosition="0"/>
    </format>
    <format dxfId="3999">
      <pivotArea outline="0" collapsedLevelsAreSubtotals="1" fieldPosition="0"/>
    </format>
  </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lan" xr10:uid="{530C151D-AAAB-4942-BAE9-C5B595468A75}" sourceName="Bulan">
  <pivotTables>
    <pivotTable tabId="5" name="Kontribusi_Kategori"/>
    <pivotTable tabId="5" name="Pivot_Wilayah"/>
    <pivotTable tabId="5" name="Metode_Pembayaran"/>
    <pivotTable tabId="5" name="Kontribusi_Wilayah"/>
    <pivotTable tabId="5" name="AOVWilayah"/>
    <pivotTable tabId="5" name="5_Produk_Terendah"/>
    <pivotTable tabId="5" name="5_Produk_Terlaris"/>
    <pivotTable tabId="5" name="AOV_Pelanggan"/>
    <pivotTable tabId="9" name="PivotTable8"/>
    <pivotTable tabId="9" name="PivotTable9"/>
    <pivotTable tabId="9" name="PivotTable10"/>
    <pivotTable tabId="9" name="PivotTable11"/>
  </pivotTables>
  <data>
    <tabular pivotCacheId="1907551578">
      <items count="24">
        <i x="0" s="1"/>
        <i x="1" s="1"/>
        <i x="2" s="1"/>
        <i x="3" s="1"/>
        <i x="4" s="1"/>
        <i x="5" s="1"/>
        <i x="6" s="1"/>
        <i x="7" s="1"/>
        <i x="8" s="1"/>
        <i x="9" s="1"/>
        <i x="10" s="1"/>
        <i x="11" s="1"/>
        <i x="16" s="1" nd="1"/>
        <i x="13" s="1" nd="1"/>
        <i x="17" s="1" nd="1"/>
        <i x="22" s="1" nd="1"/>
        <i x="12" s="1" nd="1"/>
        <i x="14" s="1" nd="1"/>
        <i x="15" s="1" nd="1"/>
        <i x="18" s="1" nd="1"/>
        <i x="19" s="1" nd="1"/>
        <i x="20" s="1" nd="1"/>
        <i x="21" s="1" nd="1"/>
        <i x="2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layah1" xr10:uid="{F92E2F39-1A25-4DB1-8D14-01E0451C93E0}" sourceName="Wilayah">
  <pivotTables>
    <pivotTable tabId="5" name="Tren_Analisis"/>
    <pivotTable tabId="5" name="AOV_Kategori"/>
    <pivotTable tabId="5" name="AOV_Pelanggan"/>
    <pivotTable tabId="5" name="Metode_Pembayaran"/>
    <pivotTable tabId="5" name="Pola_Musiman"/>
    <pivotTable tabId="5" name="Kontribusi_Kategori"/>
    <pivotTable tabId="5" name="5_Produk_Terlaris"/>
    <pivotTable tabId="5" name="5_Produk_Terendah"/>
    <pivotTable tabId="9" name="PivotTable8"/>
    <pivotTable tabId="9" name="PivotTable9"/>
    <pivotTable tabId="9" name="PivotTable10"/>
    <pivotTable tabId="9" name="PivotTable11"/>
  </pivotTables>
  <data>
    <tabular pivotCacheId="1907551578">
      <items count="11">
        <i x="3" s="1"/>
        <i x="8" s="1"/>
        <i x="9" s="1"/>
        <i x="4" s="1"/>
        <i x="2" s="1"/>
        <i x="7" s="1"/>
        <i x="10" s="1"/>
        <i x="6" s="1"/>
        <i x="0"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_Produk" xr10:uid="{8258A6C2-5BF3-4A52-B395-2AE03283666D}" sourceName="Kategori_Produk">
  <pivotTables>
    <pivotTable tabId="5" name="Tren_Analisis"/>
    <pivotTable tabId="5" name="Pola_Musiman"/>
    <pivotTable tabId="5" name="Kontribusi_Wilayah"/>
    <pivotTable tabId="5" name="Metode_Pembayaran"/>
    <pivotTable tabId="5" name="AOVWilayah"/>
    <pivotTable tabId="5" name="5_Produk_Terendah"/>
    <pivotTable tabId="5" name="5_Produk_Terlaris"/>
    <pivotTable tabId="5" name="AOV_Wilayah"/>
    <pivotTable tabId="5" name="AOV_Pelanggan"/>
    <pivotTable tabId="9" name="PivotTable8"/>
    <pivotTable tabId="9" name="PivotTable9"/>
    <pivotTable tabId="9" name="PivotTable10"/>
    <pivotTable tabId="9" name="PivotTable11"/>
  </pivotTables>
  <data>
    <tabular pivotCacheId="1907551578">
      <items count="5">
        <i x="3" s="1"/>
        <i x="4"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ode_Pembayaran" xr10:uid="{ADAE0773-8F6B-4B0D-AA5D-ED5DB535F981}" sourceName="Metode_Pembayaran">
  <pivotTables>
    <pivotTable tabId="5" name="Tren_Analisis"/>
    <pivotTable tabId="5" name="Kontribusi_Kategori"/>
    <pivotTable tabId="5" name="Kontribusi_Wilayah"/>
    <pivotTable tabId="5" name="Pola_Musiman"/>
    <pivotTable tabId="5" name="AOVWilayah"/>
    <pivotTable tabId="5" name="5_Produk_Terendah"/>
    <pivotTable tabId="5" name="5_Produk_Terlaris"/>
    <pivotTable tabId="5" name="AOV_Pelanggan"/>
    <pivotTable tabId="9" name="PivotTable8"/>
    <pivotTable tabId="9" name="PivotTable9"/>
    <pivotTable tabId="9" name="PivotTable10"/>
    <pivotTable tabId="9" name="PivotTable11"/>
  </pivotTables>
  <data>
    <tabular pivotCacheId="1907551578">
      <items count="6">
        <i x="4" s="1"/>
        <i x="2" s="1"/>
        <i x="1" s="1"/>
        <i x="5"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_Pelanggan" xr10:uid="{86AA4521-6328-4A38-8518-4D961D9C1053}" sourceName="Segmen_Pelanggan">
  <pivotTables>
    <pivotTable tabId="5" name="Tren_Analisis"/>
    <pivotTable tabId="5" name="AOV_Wilayah"/>
    <pivotTable tabId="5" name="Kontribusi_Kategori"/>
    <pivotTable tabId="5" name="Metode_Pembayaran"/>
    <pivotTable tabId="5" name="Pola_Musiman"/>
    <pivotTable tabId="5" name="5_Produk_Terendah"/>
    <pivotTable tabId="5" name="5_Produk_Terlaris"/>
    <pivotTable tabId="5" name="AOVWilayah"/>
    <pivotTable tabId="5" name="Kontribusi_Wilayah"/>
    <pivotTable tabId="9" name="PivotTable8"/>
    <pivotTable tabId="9" name="PivotTable9"/>
    <pivotTable tabId="9" name="PivotTable10"/>
    <pivotTable tabId="9" name="PivotTable11"/>
  </pivotTables>
  <data>
    <tabular pivotCacheId="190755157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lan 1" xr10:uid="{9EB1255F-3A31-477D-9B6A-AF9F54935F7C}" cache="Slicer_Bulan" caption="Bulan" style="SlicerStyleLight2" rowHeight="241300"/>
  <slicer name="Wilayah 2" xr10:uid="{432854CB-2C23-47C9-ADB1-62A6DB9AD5C4}" cache="Slicer_Wilayah1" caption="Wilayah" startItem="2" rowHeight="241300"/>
  <slicer name="Kategori_Produk 1" xr10:uid="{A6D916C5-9E91-4A34-A506-0678CD82ABB1}" cache="Slicer_Kategori_Produk" caption="Kategori_Produk" style="SlicerStyleLight6" rowHeight="241300"/>
  <slicer name="Metode_Pembayaran 1" xr10:uid="{19937308-6934-4AE0-B85D-A26F0F1DE24A}" cache="Slicer_Metode_Pembayaran" caption="Metode_Pembayaran" startItem="1" style="SlicerStyleLight3" rowHeight="241300"/>
  <slicer name="Segmen_Pelanggan 1" xr10:uid="{9C2FBC31-FF52-4537-9A08-B656259D62A6}" cache="Slicer_Segmen_Pelanggan" caption="Segmen_Pelanggan" style="SlicerStyleOther1" rowHeight="2413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20.xml"/><Relationship Id="rId7" Type="http://schemas.microsoft.com/office/2007/relationships/slicer" Target="../slicers/slicer1.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drawing" Target="../drawings/drawing3.xml"/><Relationship Id="rId5" Type="http://schemas.openxmlformats.org/officeDocument/2006/relationships/printerSettings" Target="../printerSettings/printerSettings4.bin"/><Relationship Id="rId4" Type="http://schemas.openxmlformats.org/officeDocument/2006/relationships/pivotTable" Target="../pivotTables/pivotTable2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AD17-845B-4996-8748-A875026E7648}">
  <dimension ref="B2:T317"/>
  <sheetViews>
    <sheetView tabSelected="1" topLeftCell="A295" zoomScaleNormal="100" workbookViewId="0">
      <selection activeCell="W310" sqref="W310"/>
    </sheetView>
  </sheetViews>
  <sheetFormatPr defaultRowHeight="15" x14ac:dyDescent="0.25"/>
  <cols>
    <col min="2" max="20" width="6.85546875" customWidth="1"/>
  </cols>
  <sheetData>
    <row r="2" spans="2:20" x14ac:dyDescent="0.25">
      <c r="B2" s="159"/>
      <c r="C2" s="159"/>
      <c r="D2" s="159"/>
      <c r="E2" s="159"/>
      <c r="F2" s="159"/>
      <c r="G2" s="159"/>
      <c r="H2" s="159"/>
      <c r="I2" s="159"/>
      <c r="J2" s="159"/>
      <c r="K2" s="159"/>
      <c r="L2" s="159"/>
      <c r="M2" s="159"/>
      <c r="N2" s="159"/>
      <c r="O2" s="159"/>
      <c r="P2" s="159"/>
      <c r="Q2" s="96"/>
      <c r="R2" s="96"/>
      <c r="S2" s="96"/>
      <c r="T2" s="96"/>
    </row>
    <row r="3" spans="2:20" ht="30" x14ac:dyDescent="0.25">
      <c r="B3" s="160" t="s">
        <v>478</v>
      </c>
      <c r="C3" s="161"/>
      <c r="D3" s="161"/>
      <c r="E3" s="161"/>
      <c r="F3" s="161"/>
      <c r="G3" s="161"/>
      <c r="H3" s="161"/>
      <c r="I3" s="161"/>
      <c r="J3" s="161"/>
      <c r="K3" s="161"/>
      <c r="L3" s="159"/>
      <c r="M3" s="159"/>
      <c r="N3" s="159"/>
      <c r="O3" s="159"/>
      <c r="P3" s="159"/>
      <c r="Q3" s="159"/>
      <c r="R3" s="159"/>
      <c r="S3" s="159"/>
      <c r="T3" s="159"/>
    </row>
    <row r="4" spans="2:20" ht="30" x14ac:dyDescent="0.25">
      <c r="B4" s="160" t="s">
        <v>479</v>
      </c>
      <c r="C4" s="161"/>
      <c r="D4" s="161"/>
      <c r="E4" s="161"/>
      <c r="F4" s="161"/>
      <c r="G4" s="161"/>
      <c r="H4" s="161"/>
      <c r="I4" s="161"/>
      <c r="J4" s="161"/>
      <c r="K4" s="161"/>
      <c r="L4" s="159"/>
      <c r="M4" s="159"/>
      <c r="N4" s="159"/>
      <c r="O4" s="159"/>
      <c r="P4" s="159"/>
      <c r="Q4" s="159"/>
      <c r="R4" s="159"/>
      <c r="S4" s="159"/>
      <c r="T4" s="159"/>
    </row>
    <row r="5" spans="2:20" x14ac:dyDescent="0.25">
      <c r="B5" s="162"/>
      <c r="C5" s="162"/>
      <c r="D5" s="162"/>
      <c r="E5" s="162"/>
      <c r="F5" s="162"/>
      <c r="G5" s="162"/>
      <c r="H5" s="162"/>
      <c r="I5" s="162"/>
      <c r="J5" s="162"/>
      <c r="K5" s="96"/>
      <c r="L5" s="96"/>
      <c r="M5" s="96"/>
      <c r="N5" s="96"/>
      <c r="O5" s="96"/>
      <c r="P5" s="96"/>
      <c r="Q5" s="96"/>
      <c r="R5" s="96"/>
      <c r="S5" s="96"/>
      <c r="T5" s="96"/>
    </row>
    <row r="6" spans="2:20" x14ac:dyDescent="0.25">
      <c r="B6" s="162"/>
      <c r="C6" s="162"/>
      <c r="D6" s="162"/>
      <c r="E6" s="162"/>
      <c r="F6" s="162"/>
      <c r="G6" s="162"/>
      <c r="H6" s="162"/>
      <c r="I6" s="162"/>
      <c r="J6" s="162"/>
      <c r="K6" s="96"/>
      <c r="L6" s="96"/>
      <c r="M6" s="96"/>
      <c r="N6" s="96"/>
      <c r="O6" s="96"/>
      <c r="P6" s="96"/>
      <c r="Q6" s="96"/>
      <c r="R6" s="96"/>
      <c r="S6" s="96"/>
      <c r="T6" s="96"/>
    </row>
    <row r="7" spans="2:20" x14ac:dyDescent="0.25">
      <c r="B7" s="162"/>
      <c r="C7" s="162"/>
      <c r="D7" s="162"/>
      <c r="E7" s="162"/>
      <c r="F7" s="162"/>
      <c r="G7" s="162"/>
      <c r="H7" s="162"/>
      <c r="I7" s="162"/>
      <c r="J7" s="162"/>
      <c r="K7" s="96"/>
      <c r="L7" s="96"/>
      <c r="M7" s="96"/>
      <c r="N7" s="96"/>
      <c r="O7" s="96"/>
      <c r="P7" s="96"/>
      <c r="Q7" s="96"/>
      <c r="R7" s="96"/>
      <c r="S7" s="96"/>
      <c r="T7" s="96"/>
    </row>
    <row r="8" spans="2:20" x14ac:dyDescent="0.25">
      <c r="B8" s="162"/>
      <c r="C8" s="162"/>
      <c r="D8" s="162"/>
      <c r="E8" s="162"/>
      <c r="F8" s="162"/>
      <c r="G8" s="162"/>
      <c r="H8" s="162"/>
      <c r="I8" s="162"/>
      <c r="J8" s="162"/>
      <c r="K8" s="96"/>
      <c r="L8" s="96"/>
      <c r="M8" s="96"/>
      <c r="N8" s="96"/>
      <c r="O8" s="96"/>
      <c r="P8" s="96"/>
      <c r="Q8" s="96"/>
      <c r="R8" s="96"/>
      <c r="S8" s="96"/>
      <c r="T8" s="96"/>
    </row>
    <row r="9" spans="2:20" x14ac:dyDescent="0.25">
      <c r="B9" s="162"/>
      <c r="C9" s="162"/>
      <c r="D9" s="162"/>
      <c r="E9" s="162"/>
      <c r="F9" s="162"/>
      <c r="G9" s="162"/>
      <c r="H9" s="162"/>
      <c r="I9" s="162"/>
      <c r="J9" s="162"/>
      <c r="K9" s="96"/>
      <c r="L9" s="96"/>
      <c r="M9" s="96"/>
      <c r="N9" s="96"/>
      <c r="O9" s="96"/>
      <c r="P9" s="96"/>
      <c r="Q9" s="96"/>
      <c r="R9" s="96"/>
      <c r="S9" s="96"/>
      <c r="T9" s="96"/>
    </row>
    <row r="10" spans="2:20" ht="18.75" x14ac:dyDescent="0.25">
      <c r="B10" s="96"/>
      <c r="C10" s="163" t="s">
        <v>482</v>
      </c>
      <c r="D10" s="164"/>
      <c r="E10" s="96"/>
      <c r="F10" s="164"/>
      <c r="G10" s="96"/>
      <c r="H10" s="96"/>
      <c r="I10" s="96"/>
      <c r="J10" s="163" t="s">
        <v>480</v>
      </c>
      <c r="K10" s="96"/>
      <c r="L10" s="96"/>
      <c r="M10" s="96"/>
      <c r="N10" s="96"/>
      <c r="O10" s="96"/>
      <c r="P10" s="163" t="s">
        <v>481</v>
      </c>
      <c r="Q10" s="96"/>
      <c r="R10" s="96"/>
      <c r="S10" s="96"/>
      <c r="T10" s="96"/>
    </row>
    <row r="11" spans="2:20" x14ac:dyDescent="0.25">
      <c r="B11" s="162"/>
      <c r="C11" s="162"/>
      <c r="D11" s="162"/>
      <c r="E11" s="162"/>
      <c r="F11" s="162"/>
      <c r="G11" s="162"/>
      <c r="H11" s="162"/>
      <c r="I11" s="162"/>
      <c r="J11" s="162"/>
      <c r="K11" s="96"/>
      <c r="L11" s="96"/>
      <c r="M11" s="96"/>
      <c r="N11" s="96"/>
      <c r="O11" s="96"/>
      <c r="P11" s="96"/>
      <c r="Q11" s="96"/>
      <c r="R11" s="96"/>
      <c r="S11" s="96"/>
      <c r="T11" s="96"/>
    </row>
    <row r="12" spans="2:20" x14ac:dyDescent="0.25">
      <c r="B12" s="162"/>
      <c r="C12" s="162"/>
      <c r="D12" s="162"/>
      <c r="E12" s="162"/>
      <c r="F12" s="162"/>
      <c r="G12" s="162"/>
      <c r="H12" s="162"/>
      <c r="I12" s="162"/>
      <c r="J12" s="162"/>
      <c r="K12" s="96"/>
      <c r="L12" s="96"/>
      <c r="M12" s="96"/>
      <c r="N12" s="96"/>
      <c r="O12" s="96"/>
      <c r="P12" s="96"/>
      <c r="Q12" s="96"/>
      <c r="R12" s="96"/>
      <c r="S12" s="96"/>
      <c r="T12" s="96"/>
    </row>
    <row r="13" spans="2:20" ht="15.75" thickBot="1" x14ac:dyDescent="0.3">
      <c r="B13" s="113"/>
      <c r="C13" s="113"/>
      <c r="D13" s="113"/>
      <c r="E13" s="85"/>
      <c r="F13" s="85"/>
      <c r="G13" s="85"/>
      <c r="H13" s="113"/>
      <c r="I13" s="85"/>
      <c r="J13" s="113"/>
      <c r="K13" s="113"/>
      <c r="L13" s="113"/>
      <c r="M13" s="85"/>
      <c r="N13" s="113"/>
      <c r="O13" s="113"/>
      <c r="P13" s="113"/>
      <c r="Q13" s="113"/>
      <c r="R13" s="113"/>
      <c r="S13" s="113"/>
      <c r="T13" s="113"/>
    </row>
    <row r="14" spans="2:20" ht="15.75" thickTop="1" x14ac:dyDescent="0.25">
      <c r="B14" s="85"/>
      <c r="C14" s="85"/>
      <c r="D14" s="85"/>
      <c r="E14" s="125"/>
      <c r="F14" s="125"/>
      <c r="G14" s="125"/>
      <c r="H14" s="85"/>
      <c r="I14" s="125"/>
      <c r="J14" s="85"/>
      <c r="K14" s="85"/>
      <c r="L14" s="85"/>
      <c r="M14" s="125"/>
      <c r="N14" s="85"/>
      <c r="O14" s="85"/>
      <c r="P14" s="85"/>
      <c r="Q14" s="85"/>
      <c r="R14" s="85"/>
      <c r="S14" s="85"/>
      <c r="T14" s="85"/>
    </row>
    <row r="15" spans="2:20" ht="22.5" x14ac:dyDescent="0.3">
      <c r="B15" s="84" t="s">
        <v>483</v>
      </c>
      <c r="C15" s="85"/>
      <c r="D15" s="86"/>
      <c r="E15" s="85"/>
      <c r="F15" s="85"/>
      <c r="G15" s="85"/>
      <c r="H15" s="85"/>
      <c r="I15" s="85"/>
      <c r="J15" s="85"/>
      <c r="K15" s="85"/>
      <c r="L15" s="85"/>
      <c r="M15" s="85"/>
      <c r="N15" s="85"/>
      <c r="O15" s="85"/>
      <c r="P15" s="85"/>
      <c r="Q15" s="85"/>
      <c r="R15" s="85"/>
      <c r="S15" s="85"/>
      <c r="T15" s="85"/>
    </row>
    <row r="16" spans="2:20" ht="33" x14ac:dyDescent="0.45">
      <c r="B16" s="99" t="s">
        <v>484</v>
      </c>
      <c r="C16" s="85"/>
      <c r="D16" s="85"/>
      <c r="E16" s="85"/>
      <c r="F16" s="85"/>
      <c r="G16" s="85"/>
      <c r="H16" s="85"/>
      <c r="I16" s="85"/>
      <c r="J16" s="85"/>
      <c r="K16" s="85"/>
      <c r="L16" s="85"/>
      <c r="M16" s="85"/>
      <c r="N16" s="85"/>
      <c r="O16" s="85"/>
      <c r="P16" s="85"/>
      <c r="Q16" s="85"/>
      <c r="R16" s="85"/>
      <c r="S16" s="85"/>
      <c r="T16" s="85"/>
    </row>
    <row r="17" spans="2:20" x14ac:dyDescent="0.25">
      <c r="B17" s="85"/>
      <c r="C17" s="85"/>
      <c r="D17" s="85"/>
      <c r="E17" s="85"/>
      <c r="F17" s="85"/>
      <c r="G17" s="85"/>
      <c r="H17" s="85"/>
      <c r="I17" s="85"/>
      <c r="J17" s="85"/>
      <c r="K17" s="85"/>
      <c r="L17" s="85"/>
      <c r="M17" s="85"/>
      <c r="N17" s="85"/>
      <c r="O17" s="85"/>
      <c r="P17" s="85"/>
      <c r="Q17" s="85"/>
      <c r="R17" s="85"/>
      <c r="S17" s="85"/>
      <c r="T17" s="85"/>
    </row>
    <row r="18" spans="2:20" ht="30" x14ac:dyDescent="0.4">
      <c r="B18" s="170" t="s">
        <v>451</v>
      </c>
      <c r="C18" s="123"/>
      <c r="D18" s="123"/>
      <c r="E18" s="123"/>
      <c r="F18" s="85"/>
      <c r="G18" s="191">
        <v>220</v>
      </c>
      <c r="H18" s="191"/>
      <c r="I18" s="191"/>
      <c r="J18" s="85"/>
      <c r="K18" s="85"/>
      <c r="L18" s="123"/>
      <c r="M18" s="170">
        <v>10</v>
      </c>
      <c r="N18" s="93"/>
      <c r="O18" s="120"/>
      <c r="P18" s="120"/>
      <c r="Q18" s="93"/>
      <c r="R18" s="170">
        <v>5</v>
      </c>
      <c r="S18" s="93"/>
      <c r="T18" s="85"/>
    </row>
    <row r="19" spans="2:20" x14ac:dyDescent="0.25">
      <c r="B19" s="140" t="s">
        <v>314</v>
      </c>
      <c r="C19" s="139"/>
      <c r="D19" s="123"/>
      <c r="E19" s="123"/>
      <c r="F19" s="85"/>
      <c r="G19" s="139"/>
      <c r="H19" s="140" t="s">
        <v>456</v>
      </c>
      <c r="I19" s="93"/>
      <c r="J19" s="85"/>
      <c r="K19" s="85"/>
      <c r="L19" s="123"/>
      <c r="M19" s="140" t="s">
        <v>457</v>
      </c>
      <c r="N19" s="93"/>
      <c r="O19" s="120"/>
      <c r="Q19" s="93"/>
      <c r="R19" s="140" t="s">
        <v>458</v>
      </c>
      <c r="S19" s="93"/>
      <c r="T19" s="85"/>
    </row>
    <row r="20" spans="2:20" x14ac:dyDescent="0.25">
      <c r="B20" s="120"/>
      <c r="C20" s="120"/>
      <c r="D20" s="120"/>
      <c r="E20" s="85"/>
      <c r="F20" s="85"/>
      <c r="G20" s="85"/>
      <c r="H20" s="85"/>
      <c r="I20" s="85"/>
      <c r="J20" s="85"/>
      <c r="K20" s="85"/>
      <c r="L20" s="85"/>
      <c r="M20" s="85"/>
      <c r="N20" s="120"/>
      <c r="O20" s="120"/>
      <c r="P20" s="120"/>
      <c r="Q20" s="85"/>
      <c r="R20" s="85"/>
      <c r="S20" s="85"/>
      <c r="T20" s="85"/>
    </row>
    <row r="21" spans="2:20" x14ac:dyDescent="0.25">
      <c r="B21" s="85"/>
      <c r="C21" s="85"/>
      <c r="D21" s="85"/>
      <c r="E21" s="85"/>
      <c r="F21" s="85"/>
      <c r="G21" s="85"/>
      <c r="H21" s="85"/>
      <c r="I21" s="85"/>
      <c r="J21" s="85"/>
      <c r="K21" s="85"/>
      <c r="L21" s="85"/>
      <c r="M21" s="85"/>
      <c r="N21" s="85"/>
      <c r="O21" s="85"/>
      <c r="P21" s="85"/>
      <c r="Q21" s="85"/>
      <c r="R21" s="85"/>
      <c r="S21" s="85"/>
      <c r="T21" s="85"/>
    </row>
    <row r="22" spans="2:20" ht="18.75" x14ac:dyDescent="0.3">
      <c r="B22" s="107" t="s">
        <v>636</v>
      </c>
      <c r="C22" s="85"/>
      <c r="D22" s="85"/>
      <c r="E22" s="85"/>
      <c r="F22" s="85"/>
      <c r="G22" s="85"/>
      <c r="H22" s="85"/>
      <c r="I22" s="85"/>
      <c r="J22" s="85"/>
      <c r="K22" s="85"/>
      <c r="L22" s="85"/>
      <c r="M22" s="85"/>
      <c r="N22" s="85"/>
      <c r="O22" s="85"/>
      <c r="P22" s="85"/>
      <c r="Q22" s="85"/>
      <c r="R22" s="85"/>
      <c r="S22" s="85"/>
      <c r="T22" s="85"/>
    </row>
    <row r="23" spans="2:20" ht="18.75" x14ac:dyDescent="0.3">
      <c r="B23" s="87"/>
      <c r="C23" s="85"/>
      <c r="D23" s="85"/>
      <c r="E23" s="85"/>
      <c r="F23" s="85"/>
      <c r="G23" s="85"/>
      <c r="H23" s="85"/>
      <c r="I23" s="85"/>
      <c r="J23" s="85"/>
      <c r="K23" s="85"/>
      <c r="L23" s="85"/>
      <c r="M23" s="85"/>
      <c r="N23" s="85"/>
      <c r="O23" s="85"/>
      <c r="P23" s="85"/>
      <c r="Q23" s="85"/>
      <c r="R23" s="85"/>
      <c r="S23" s="85"/>
      <c r="T23" s="85"/>
    </row>
    <row r="24" spans="2:20" ht="18.75" x14ac:dyDescent="0.3">
      <c r="B24" s="107" t="s">
        <v>637</v>
      </c>
      <c r="C24" s="85"/>
      <c r="D24" s="85"/>
      <c r="E24" s="85"/>
      <c r="F24" s="85"/>
      <c r="G24" s="85"/>
      <c r="H24" s="85"/>
      <c r="I24" s="85"/>
      <c r="J24" s="85"/>
      <c r="K24" s="85"/>
      <c r="L24" s="85"/>
      <c r="M24" s="85"/>
      <c r="N24" s="85"/>
      <c r="O24" s="85"/>
      <c r="P24" s="85"/>
      <c r="Q24" s="85"/>
      <c r="R24" s="85"/>
      <c r="S24" s="85"/>
      <c r="T24" s="85"/>
    </row>
    <row r="25" spans="2:20" ht="18.75" x14ac:dyDescent="0.3">
      <c r="B25" s="87"/>
      <c r="C25" s="85"/>
      <c r="D25" s="85"/>
      <c r="E25" s="85"/>
      <c r="F25" s="85"/>
      <c r="G25" s="85"/>
      <c r="H25" s="85"/>
      <c r="I25" s="85"/>
      <c r="J25" s="85"/>
      <c r="K25" s="85"/>
      <c r="L25" s="85"/>
      <c r="M25" s="85"/>
      <c r="N25" s="85"/>
      <c r="O25" s="85"/>
      <c r="P25" s="85"/>
      <c r="Q25" s="85"/>
      <c r="R25" s="85"/>
      <c r="S25" s="85"/>
      <c r="T25" s="85"/>
    </row>
    <row r="26" spans="2:20" ht="18.75" x14ac:dyDescent="0.3">
      <c r="B26" s="108" t="s">
        <v>638</v>
      </c>
      <c r="C26" s="85"/>
      <c r="D26" s="85"/>
      <c r="E26" s="85"/>
      <c r="F26" s="85"/>
      <c r="G26" s="85"/>
      <c r="H26" s="85"/>
      <c r="I26" s="85"/>
      <c r="J26" s="85"/>
      <c r="K26" s="85"/>
      <c r="L26" s="85"/>
      <c r="M26" s="85"/>
      <c r="N26" s="85"/>
      <c r="O26" s="85"/>
      <c r="P26" s="85"/>
      <c r="Q26" s="85"/>
      <c r="R26" s="85"/>
      <c r="S26" s="85"/>
      <c r="T26" s="85"/>
    </row>
    <row r="27" spans="2:20" ht="18.75" x14ac:dyDescent="0.3">
      <c r="B27" s="87"/>
      <c r="C27" s="85"/>
      <c r="D27" s="85"/>
      <c r="E27" s="85"/>
      <c r="F27" s="85"/>
      <c r="G27" s="85"/>
      <c r="H27" s="85"/>
      <c r="I27" s="85"/>
      <c r="J27" s="85"/>
      <c r="K27" s="85"/>
      <c r="L27" s="85"/>
      <c r="M27" s="85"/>
      <c r="N27" s="85"/>
      <c r="O27" s="85"/>
      <c r="P27" s="85"/>
      <c r="Q27" s="85"/>
      <c r="R27" s="85"/>
      <c r="S27" s="85"/>
      <c r="T27" s="85"/>
    </row>
    <row r="28" spans="2:20" ht="18.75" x14ac:dyDescent="0.3">
      <c r="B28" s="107" t="s">
        <v>639</v>
      </c>
      <c r="C28" s="85"/>
      <c r="D28" s="85"/>
      <c r="E28" s="85"/>
      <c r="F28" s="85"/>
      <c r="G28" s="85"/>
      <c r="H28" s="85"/>
      <c r="I28" s="85"/>
      <c r="J28" s="85"/>
      <c r="K28" s="85"/>
      <c r="L28" s="85"/>
      <c r="M28" s="85"/>
      <c r="N28" s="85"/>
      <c r="O28" s="85"/>
      <c r="P28" s="85"/>
      <c r="Q28" s="85"/>
      <c r="R28" s="85"/>
      <c r="S28" s="85"/>
      <c r="T28" s="85"/>
    </row>
    <row r="29" spans="2:20" ht="18.75" x14ac:dyDescent="0.3">
      <c r="B29" s="87"/>
      <c r="C29" s="85"/>
      <c r="D29" s="85"/>
      <c r="E29" s="85"/>
      <c r="F29" s="85"/>
      <c r="G29" s="85"/>
      <c r="H29" s="85"/>
      <c r="I29" s="85"/>
      <c r="J29" s="85"/>
      <c r="K29" s="85"/>
      <c r="L29" s="85"/>
      <c r="M29" s="85"/>
      <c r="N29" s="85"/>
      <c r="O29" s="85"/>
      <c r="P29" s="85"/>
      <c r="Q29" s="85"/>
      <c r="R29" s="85"/>
      <c r="S29" s="85"/>
      <c r="T29" s="85"/>
    </row>
    <row r="30" spans="2:20" ht="18.75" x14ac:dyDescent="0.3">
      <c r="B30" s="107" t="s">
        <v>640</v>
      </c>
      <c r="C30" s="85"/>
      <c r="D30" s="85"/>
      <c r="E30" s="85"/>
      <c r="F30" s="85"/>
      <c r="G30" s="85"/>
      <c r="H30" s="85"/>
      <c r="I30" s="85"/>
      <c r="J30" s="85"/>
      <c r="K30" s="85"/>
      <c r="L30" s="85"/>
      <c r="M30" s="85"/>
      <c r="N30" s="85"/>
      <c r="O30" s="85"/>
      <c r="P30" s="85"/>
      <c r="Q30" s="85"/>
      <c r="R30" s="85"/>
      <c r="S30" s="85"/>
      <c r="T30" s="85"/>
    </row>
    <row r="31" spans="2:20" ht="19.5" thickBot="1" x14ac:dyDescent="0.35">
      <c r="B31" s="114"/>
      <c r="C31" s="113"/>
      <c r="D31" s="113"/>
      <c r="E31" s="113"/>
      <c r="F31" s="113"/>
      <c r="G31" s="113"/>
      <c r="H31" s="113"/>
      <c r="I31" s="113"/>
      <c r="J31" s="113"/>
      <c r="K31" s="113"/>
      <c r="L31" s="113"/>
      <c r="M31" s="113"/>
      <c r="N31" s="113"/>
      <c r="O31" s="113"/>
      <c r="P31" s="113"/>
      <c r="Q31" s="85"/>
      <c r="R31" s="113"/>
      <c r="S31" s="113"/>
      <c r="T31" s="113"/>
    </row>
    <row r="32" spans="2:20" ht="19.5" thickTop="1" x14ac:dyDescent="0.3">
      <c r="B32" s="87"/>
      <c r="C32" s="85"/>
      <c r="D32" s="85"/>
      <c r="E32" s="85"/>
      <c r="F32" s="85"/>
      <c r="G32" s="85"/>
      <c r="H32" s="85"/>
      <c r="I32" s="85"/>
      <c r="J32" s="85"/>
      <c r="K32" s="85"/>
      <c r="L32" s="85"/>
      <c r="M32" s="85"/>
      <c r="N32" s="85"/>
      <c r="O32" s="85"/>
      <c r="P32" s="85"/>
      <c r="Q32" s="125"/>
      <c r="R32" s="85"/>
      <c r="S32" s="85"/>
      <c r="T32" s="85"/>
    </row>
    <row r="33" spans="2:20" ht="18.75" x14ac:dyDescent="0.3">
      <c r="B33" s="92"/>
      <c r="C33" s="88"/>
      <c r="D33" s="88"/>
      <c r="E33" s="88"/>
      <c r="F33" s="88"/>
      <c r="G33" s="88"/>
      <c r="H33" s="88"/>
      <c r="I33" s="88"/>
      <c r="J33" s="88"/>
      <c r="K33" s="88"/>
      <c r="L33" s="88"/>
      <c r="M33" s="88"/>
      <c r="N33" s="88"/>
      <c r="O33" s="88"/>
      <c r="P33" s="88"/>
      <c r="Q33" s="88"/>
      <c r="R33" s="88"/>
      <c r="S33" s="88"/>
      <c r="T33" s="88"/>
    </row>
    <row r="34" spans="2:20" ht="21" x14ac:dyDescent="0.35">
      <c r="B34" s="92"/>
      <c r="C34" s="88"/>
      <c r="D34" s="152" t="s">
        <v>487</v>
      </c>
      <c r="E34" s="88"/>
      <c r="F34" s="88"/>
      <c r="G34" s="88"/>
      <c r="H34" s="88"/>
      <c r="I34" s="88"/>
      <c r="J34" s="88"/>
      <c r="K34" s="88"/>
      <c r="L34" s="88"/>
      <c r="M34" s="88"/>
      <c r="N34" s="88"/>
      <c r="O34" s="88"/>
      <c r="P34" s="88"/>
      <c r="Q34" s="88"/>
      <c r="R34" s="88"/>
      <c r="S34" s="88"/>
      <c r="T34" s="88"/>
    </row>
    <row r="35" spans="2:20" x14ac:dyDescent="0.25">
      <c r="B35" s="88"/>
      <c r="C35" s="88"/>
      <c r="D35" s="88"/>
      <c r="E35" s="88"/>
      <c r="F35" s="88"/>
      <c r="G35" s="88"/>
      <c r="H35" s="88"/>
      <c r="I35" s="88"/>
      <c r="J35" s="88"/>
      <c r="K35" s="88"/>
      <c r="L35" s="88"/>
      <c r="M35" s="88"/>
      <c r="N35" s="88"/>
      <c r="O35" s="88"/>
      <c r="P35" s="88"/>
      <c r="Q35" s="88"/>
      <c r="R35" s="88"/>
      <c r="S35" s="88"/>
      <c r="T35" s="88"/>
    </row>
    <row r="36" spans="2:20" ht="45" x14ac:dyDescent="0.6">
      <c r="B36" s="88"/>
      <c r="C36" s="89"/>
      <c r="D36" s="90" t="s">
        <v>485</v>
      </c>
      <c r="E36" s="89"/>
      <c r="F36" s="89"/>
      <c r="G36" s="89"/>
      <c r="H36" s="89"/>
      <c r="I36" s="89"/>
      <c r="J36" s="89"/>
      <c r="K36" s="89"/>
      <c r="L36" s="89"/>
      <c r="M36" s="88"/>
      <c r="N36" s="88"/>
      <c r="O36" s="88"/>
      <c r="P36" s="88"/>
      <c r="Q36" s="88"/>
      <c r="R36" s="88"/>
      <c r="S36" s="88"/>
      <c r="T36" s="88"/>
    </row>
    <row r="37" spans="2:20" ht="45" x14ac:dyDescent="0.6">
      <c r="B37" s="88"/>
      <c r="C37" s="88"/>
      <c r="D37" s="91" t="s">
        <v>486</v>
      </c>
      <c r="E37" s="88"/>
      <c r="F37" s="88"/>
      <c r="G37" s="88"/>
      <c r="H37" s="88"/>
      <c r="I37" s="88"/>
      <c r="J37" s="88"/>
      <c r="K37" s="88"/>
      <c r="L37" s="88"/>
      <c r="M37" s="88"/>
      <c r="N37" s="88"/>
      <c r="O37" s="88"/>
      <c r="P37" s="88"/>
      <c r="Q37" s="88"/>
      <c r="R37" s="88"/>
      <c r="S37" s="88"/>
      <c r="T37" s="88"/>
    </row>
    <row r="38" spans="2:20" x14ac:dyDescent="0.25">
      <c r="B38" s="88"/>
      <c r="C38" s="88"/>
      <c r="D38" s="88"/>
      <c r="E38" s="88"/>
      <c r="F38" s="88"/>
      <c r="G38" s="88"/>
      <c r="H38" s="88"/>
      <c r="I38" s="88"/>
      <c r="J38" s="88"/>
      <c r="K38" s="88"/>
      <c r="L38" s="88"/>
      <c r="M38" s="88"/>
      <c r="N38" s="88"/>
      <c r="O38" s="88"/>
      <c r="P38" s="88"/>
      <c r="Q38" s="88"/>
      <c r="R38" s="88"/>
      <c r="S38" s="88"/>
      <c r="T38" s="88"/>
    </row>
    <row r="39" spans="2:20" x14ac:dyDescent="0.25">
      <c r="B39" s="88"/>
      <c r="C39" s="88"/>
      <c r="D39" s="88"/>
      <c r="E39" s="88"/>
      <c r="F39" s="88"/>
      <c r="G39" s="88"/>
      <c r="H39" s="88"/>
      <c r="I39" s="88"/>
      <c r="J39" s="88"/>
      <c r="K39" s="88"/>
      <c r="L39" s="88"/>
      <c r="M39" s="88"/>
      <c r="N39" s="88"/>
      <c r="O39" s="88"/>
      <c r="P39" s="88"/>
      <c r="Q39" s="88"/>
      <c r="R39" s="88"/>
      <c r="S39" s="88"/>
      <c r="T39" s="88"/>
    </row>
    <row r="40" spans="2:20" x14ac:dyDescent="0.25">
      <c r="B40" s="88"/>
      <c r="C40" s="88"/>
      <c r="D40" s="88"/>
      <c r="E40" s="88"/>
      <c r="F40" s="88"/>
      <c r="G40" s="88"/>
      <c r="H40" s="88"/>
      <c r="I40" s="88"/>
      <c r="J40" s="88"/>
      <c r="K40" s="88"/>
      <c r="L40" s="88"/>
      <c r="M40" s="88"/>
      <c r="N40" s="88"/>
      <c r="O40" s="88"/>
      <c r="P40" s="88"/>
      <c r="Q40" s="88"/>
      <c r="R40" s="88"/>
      <c r="S40" s="88"/>
      <c r="T40" s="88"/>
    </row>
    <row r="41" spans="2:20" x14ac:dyDescent="0.25">
      <c r="B41" s="88"/>
      <c r="C41" s="88"/>
      <c r="D41" s="88"/>
      <c r="E41" s="88"/>
      <c r="F41" s="88"/>
      <c r="G41" s="88"/>
      <c r="H41" s="88"/>
      <c r="I41" s="88"/>
      <c r="J41" s="88"/>
      <c r="K41" s="88"/>
      <c r="L41" s="88"/>
      <c r="M41" s="88"/>
      <c r="N41" s="88"/>
      <c r="O41" s="88"/>
      <c r="P41" s="88"/>
      <c r="Q41" s="88"/>
      <c r="R41" s="88"/>
      <c r="S41" s="88"/>
      <c r="T41" s="88"/>
    </row>
    <row r="42" spans="2:20" ht="15.75" thickBot="1" x14ac:dyDescent="0.3">
      <c r="B42" s="113"/>
      <c r="C42" s="113"/>
      <c r="D42" s="113"/>
      <c r="E42" s="113"/>
      <c r="F42" s="113"/>
      <c r="G42" s="113"/>
      <c r="H42" s="113"/>
      <c r="I42" s="113"/>
      <c r="J42" s="113"/>
      <c r="K42" s="113"/>
      <c r="L42" s="113"/>
      <c r="M42" s="113"/>
      <c r="N42" s="113"/>
      <c r="O42" s="113"/>
      <c r="P42" s="113"/>
      <c r="Q42" s="85"/>
      <c r="R42" s="85"/>
      <c r="S42" s="113"/>
      <c r="T42" s="85"/>
    </row>
    <row r="43" spans="2:20" ht="15.75" thickTop="1" x14ac:dyDescent="0.25">
      <c r="B43" s="85"/>
      <c r="C43" s="85"/>
      <c r="D43" s="85"/>
      <c r="E43" s="85"/>
      <c r="F43" s="85"/>
      <c r="G43" s="85"/>
      <c r="H43" s="85"/>
      <c r="I43" s="85"/>
      <c r="J43" s="85"/>
      <c r="K43" s="85"/>
      <c r="L43" s="85"/>
      <c r="M43" s="85"/>
      <c r="N43" s="85"/>
      <c r="O43" s="85"/>
      <c r="P43" s="85"/>
      <c r="Q43" s="125"/>
      <c r="R43" s="125"/>
      <c r="S43" s="85"/>
      <c r="T43" s="125"/>
    </row>
    <row r="44" spans="2:20" ht="18.75" x14ac:dyDescent="0.3">
      <c r="B44" s="97" t="s">
        <v>488</v>
      </c>
      <c r="C44" s="85"/>
      <c r="D44" s="85"/>
      <c r="E44" s="85"/>
      <c r="F44" s="85"/>
      <c r="G44" s="85"/>
      <c r="H44" s="85"/>
      <c r="I44" s="85"/>
      <c r="J44" s="85"/>
      <c r="K44" s="85"/>
      <c r="L44" s="85"/>
      <c r="M44" s="85"/>
      <c r="N44" s="85"/>
      <c r="O44" s="85"/>
      <c r="P44" s="85"/>
      <c r="Q44" s="85"/>
      <c r="R44" s="85"/>
      <c r="S44" s="85"/>
      <c r="T44" s="85"/>
    </row>
    <row r="45" spans="2:20" ht="33" x14ac:dyDescent="0.45">
      <c r="B45" s="99" t="s">
        <v>489</v>
      </c>
      <c r="C45" s="85"/>
      <c r="D45" s="85"/>
      <c r="E45" s="85"/>
      <c r="F45" s="85"/>
      <c r="G45" s="85"/>
      <c r="H45" s="85"/>
      <c r="I45" s="85"/>
      <c r="J45" s="85"/>
      <c r="K45" s="85"/>
      <c r="L45" s="85"/>
      <c r="M45" s="85"/>
      <c r="N45" s="85"/>
      <c r="O45" s="85"/>
      <c r="P45" s="85"/>
      <c r="Q45" s="85"/>
      <c r="R45" s="85"/>
      <c r="S45" s="85"/>
      <c r="T45" s="85"/>
    </row>
    <row r="46" spans="2:20" x14ac:dyDescent="0.25">
      <c r="B46" s="85"/>
      <c r="C46" s="85"/>
      <c r="D46" s="85"/>
      <c r="E46" s="85"/>
      <c r="F46" s="85"/>
      <c r="G46" s="85"/>
      <c r="H46" s="85"/>
      <c r="I46" s="85"/>
      <c r="J46" s="85"/>
      <c r="K46" s="85"/>
      <c r="L46" s="85"/>
      <c r="M46" s="93"/>
      <c r="N46" s="93"/>
      <c r="O46" s="93"/>
      <c r="P46" s="93"/>
      <c r="Q46" s="93"/>
      <c r="R46" s="93"/>
      <c r="S46" s="93"/>
      <c r="T46" s="93"/>
    </row>
    <row r="47" spans="2:20" x14ac:dyDescent="0.25">
      <c r="B47" s="85"/>
      <c r="C47" s="85"/>
      <c r="D47" s="85"/>
      <c r="E47" s="85"/>
      <c r="F47" s="85"/>
      <c r="G47" s="85"/>
      <c r="H47" s="85"/>
      <c r="I47" s="85"/>
      <c r="J47" s="85"/>
      <c r="K47" s="85"/>
      <c r="L47" s="85"/>
      <c r="M47" s="93"/>
      <c r="N47" s="106" t="s">
        <v>365</v>
      </c>
      <c r="O47" s="93"/>
      <c r="P47" s="93"/>
      <c r="Q47" s="93"/>
      <c r="R47" s="93"/>
      <c r="S47" s="93"/>
      <c r="T47" s="93"/>
    </row>
    <row r="48" spans="2:20" ht="30" x14ac:dyDescent="0.4">
      <c r="B48" s="85"/>
      <c r="C48" s="85"/>
      <c r="D48" s="85"/>
      <c r="E48" s="85"/>
      <c r="F48" s="85"/>
      <c r="G48" s="98"/>
      <c r="H48" s="85"/>
      <c r="I48" s="85"/>
      <c r="J48" s="85"/>
      <c r="K48" s="85"/>
      <c r="L48" s="85"/>
      <c r="M48" s="93"/>
      <c r="N48" s="94" t="s">
        <v>490</v>
      </c>
      <c r="O48" s="93"/>
      <c r="P48" s="93"/>
      <c r="Q48" s="93"/>
      <c r="R48" s="93"/>
      <c r="S48" s="93"/>
      <c r="T48" s="93"/>
    </row>
    <row r="49" spans="2:20" x14ac:dyDescent="0.25">
      <c r="B49" s="85"/>
      <c r="C49" s="85"/>
      <c r="D49" s="85"/>
      <c r="E49" s="85"/>
      <c r="F49" s="85"/>
      <c r="G49" s="85"/>
      <c r="H49" s="85"/>
      <c r="I49" s="85"/>
      <c r="J49" s="85"/>
      <c r="K49" s="85"/>
      <c r="L49" s="85"/>
      <c r="M49" s="93"/>
      <c r="N49" s="112" t="s">
        <v>491</v>
      </c>
      <c r="O49" s="93"/>
      <c r="P49" s="93"/>
      <c r="Q49" s="93"/>
      <c r="R49" s="93"/>
      <c r="S49" s="93"/>
      <c r="T49" s="93"/>
    </row>
    <row r="50" spans="2:20" x14ac:dyDescent="0.25">
      <c r="B50" s="85"/>
      <c r="C50" s="85"/>
      <c r="D50" s="85"/>
      <c r="E50" s="85"/>
      <c r="F50" s="85"/>
      <c r="G50" s="85"/>
      <c r="H50" s="85"/>
      <c r="I50" s="85"/>
      <c r="J50" s="85"/>
      <c r="K50" s="85"/>
      <c r="L50" s="85"/>
      <c r="M50" s="93"/>
      <c r="N50" s="93"/>
      <c r="O50" s="93"/>
      <c r="P50" s="93"/>
      <c r="Q50" s="93"/>
      <c r="R50" s="93"/>
      <c r="S50" s="93"/>
      <c r="T50" s="93"/>
    </row>
    <row r="51" spans="2:20" x14ac:dyDescent="0.25">
      <c r="B51" s="85"/>
      <c r="C51" s="85"/>
      <c r="D51" s="85"/>
      <c r="E51" s="85"/>
      <c r="F51" s="85"/>
      <c r="G51" s="85"/>
      <c r="H51" s="85"/>
      <c r="I51" s="85"/>
      <c r="J51" s="85"/>
      <c r="K51" s="85"/>
      <c r="L51" s="85"/>
      <c r="M51" s="85"/>
      <c r="N51" s="85"/>
      <c r="O51" s="85"/>
      <c r="P51" s="85"/>
      <c r="Q51" s="85"/>
      <c r="R51" s="85"/>
      <c r="S51" s="85"/>
      <c r="T51" s="85"/>
    </row>
    <row r="52" spans="2:20" x14ac:dyDescent="0.25">
      <c r="B52" s="85"/>
      <c r="C52" s="85"/>
      <c r="D52" s="85"/>
      <c r="E52" s="85"/>
      <c r="F52" s="85"/>
      <c r="G52" s="85"/>
      <c r="H52" s="85"/>
      <c r="I52" s="85"/>
      <c r="J52" s="85"/>
      <c r="K52" s="85"/>
      <c r="L52" s="85"/>
      <c r="M52" s="93"/>
      <c r="N52" s="93"/>
      <c r="O52" s="93"/>
      <c r="P52" s="93"/>
      <c r="Q52" s="93"/>
      <c r="R52" s="93"/>
      <c r="S52" s="93"/>
      <c r="T52" s="93"/>
    </row>
    <row r="53" spans="2:20" x14ac:dyDescent="0.25">
      <c r="B53" s="85"/>
      <c r="C53" s="85"/>
      <c r="D53" s="85"/>
      <c r="E53" s="85"/>
      <c r="F53" s="85"/>
      <c r="G53" s="85"/>
      <c r="H53" s="85"/>
      <c r="I53" s="85"/>
      <c r="J53" s="85"/>
      <c r="K53" s="85"/>
      <c r="L53" s="85"/>
      <c r="M53" s="93"/>
      <c r="N53" s="106" t="s">
        <v>492</v>
      </c>
      <c r="O53" s="93"/>
      <c r="P53" s="93"/>
      <c r="Q53" s="93"/>
      <c r="R53" s="93"/>
      <c r="S53" s="93"/>
      <c r="T53" s="93"/>
    </row>
    <row r="54" spans="2:20" ht="30" x14ac:dyDescent="0.4">
      <c r="B54" s="85"/>
      <c r="C54" s="85"/>
      <c r="D54" s="85"/>
      <c r="E54" s="85"/>
      <c r="F54" s="85"/>
      <c r="G54" s="85"/>
      <c r="H54" s="85"/>
      <c r="I54" s="85"/>
      <c r="J54" s="85"/>
      <c r="K54" s="85"/>
      <c r="L54" s="85"/>
      <c r="M54" s="93"/>
      <c r="N54" s="95" t="s">
        <v>493</v>
      </c>
      <c r="O54" s="93"/>
      <c r="P54" s="93"/>
      <c r="Q54" s="93"/>
      <c r="R54" s="93"/>
      <c r="S54" s="93"/>
      <c r="T54" s="93"/>
    </row>
    <row r="55" spans="2:20" x14ac:dyDescent="0.25">
      <c r="B55" s="85"/>
      <c r="C55" s="85"/>
      <c r="D55" s="85"/>
      <c r="E55" s="85"/>
      <c r="F55" s="85"/>
      <c r="G55" s="85"/>
      <c r="H55" s="85"/>
      <c r="I55" s="85"/>
      <c r="J55" s="85"/>
      <c r="K55" s="85"/>
      <c r="L55" s="85"/>
      <c r="M55" s="93"/>
      <c r="N55" s="112" t="s">
        <v>494</v>
      </c>
      <c r="O55" s="93"/>
      <c r="P55" s="93"/>
      <c r="Q55" s="93"/>
      <c r="R55" s="93"/>
      <c r="S55" s="93"/>
      <c r="T55" s="93"/>
    </row>
    <row r="56" spans="2:20" x14ac:dyDescent="0.25">
      <c r="B56" s="85"/>
      <c r="C56" s="85"/>
      <c r="D56" s="85"/>
      <c r="E56" s="85"/>
      <c r="F56" s="85"/>
      <c r="G56" s="85"/>
      <c r="H56" s="85"/>
      <c r="I56" s="85"/>
      <c r="J56" s="85"/>
      <c r="K56" s="85"/>
      <c r="L56" s="85"/>
      <c r="M56" s="93"/>
      <c r="N56" s="93"/>
      <c r="O56" s="93"/>
      <c r="P56" s="93"/>
      <c r="Q56" s="93"/>
      <c r="R56" s="93"/>
      <c r="S56" s="93"/>
      <c r="T56" s="93"/>
    </row>
    <row r="57" spans="2:20" x14ac:dyDescent="0.25">
      <c r="B57" s="85"/>
      <c r="C57" s="85"/>
      <c r="D57" s="85"/>
      <c r="E57" s="85"/>
      <c r="F57" s="85"/>
      <c r="G57" s="85"/>
      <c r="H57" s="85"/>
      <c r="I57" s="85"/>
      <c r="J57" s="85"/>
      <c r="K57" s="85"/>
      <c r="L57" s="85"/>
      <c r="M57" s="85"/>
      <c r="N57" s="85"/>
      <c r="O57" s="85"/>
      <c r="P57" s="85"/>
      <c r="Q57" s="85"/>
      <c r="R57" s="85"/>
      <c r="S57" s="85"/>
      <c r="T57" s="85"/>
    </row>
    <row r="58" spans="2:20" x14ac:dyDescent="0.25">
      <c r="B58" s="85"/>
      <c r="C58" s="85"/>
      <c r="D58" s="85"/>
      <c r="E58" s="85"/>
      <c r="F58" s="85"/>
      <c r="G58" s="85"/>
      <c r="H58" s="85"/>
      <c r="I58" s="85"/>
      <c r="J58" s="85"/>
      <c r="K58" s="85"/>
      <c r="L58" s="85"/>
      <c r="M58" s="88"/>
      <c r="N58" s="88"/>
      <c r="O58" s="88"/>
      <c r="P58" s="88"/>
      <c r="Q58" s="88"/>
      <c r="R58" s="88"/>
      <c r="S58" s="88"/>
      <c r="T58" s="88"/>
    </row>
    <row r="59" spans="2:20" ht="18.75" x14ac:dyDescent="0.3">
      <c r="B59" s="85"/>
      <c r="C59" s="85"/>
      <c r="D59" s="85"/>
      <c r="E59" s="85"/>
      <c r="F59" s="85"/>
      <c r="G59" s="85"/>
      <c r="H59" s="85"/>
      <c r="I59" s="85"/>
      <c r="J59" s="85"/>
      <c r="K59" s="85"/>
      <c r="L59" s="85"/>
      <c r="M59" s="88"/>
      <c r="N59" s="103" t="s">
        <v>495</v>
      </c>
      <c r="O59" s="88"/>
      <c r="P59" s="88"/>
      <c r="Q59" s="88"/>
      <c r="R59" s="88"/>
      <c r="S59" s="88"/>
      <c r="T59" s="88"/>
    </row>
    <row r="60" spans="2:20" ht="18.75" x14ac:dyDescent="0.3">
      <c r="B60" s="85"/>
      <c r="C60" s="85"/>
      <c r="D60" s="85"/>
      <c r="E60" s="85"/>
      <c r="F60" s="85"/>
      <c r="G60" s="85"/>
      <c r="H60" s="85"/>
      <c r="I60" s="85"/>
      <c r="J60" s="85"/>
      <c r="K60" s="85"/>
      <c r="L60" s="85"/>
      <c r="M60" s="88"/>
      <c r="N60" s="103" t="s">
        <v>496</v>
      </c>
      <c r="O60" s="88"/>
      <c r="P60" s="88"/>
      <c r="Q60" s="88"/>
      <c r="R60" s="88"/>
      <c r="S60" s="88"/>
      <c r="T60" s="88"/>
    </row>
    <row r="61" spans="2:20" ht="18.75" x14ac:dyDescent="0.3">
      <c r="B61" s="85"/>
      <c r="C61" s="85"/>
      <c r="D61" s="85"/>
      <c r="E61" s="85"/>
      <c r="F61" s="85"/>
      <c r="G61" s="85"/>
      <c r="H61" s="85"/>
      <c r="I61" s="85"/>
      <c r="J61" s="85"/>
      <c r="K61" s="85"/>
      <c r="L61" s="85"/>
      <c r="M61" s="88"/>
      <c r="N61" s="103" t="s">
        <v>497</v>
      </c>
      <c r="O61" s="88"/>
      <c r="P61" s="88"/>
      <c r="Q61" s="88"/>
      <c r="R61" s="88"/>
      <c r="S61" s="88"/>
      <c r="T61" s="88"/>
    </row>
    <row r="62" spans="2:20" ht="19.5" x14ac:dyDescent="0.35">
      <c r="B62" s="85"/>
      <c r="C62" s="85"/>
      <c r="D62" s="85"/>
      <c r="E62" s="85"/>
      <c r="F62" s="85"/>
      <c r="G62" s="85"/>
      <c r="H62" s="85"/>
      <c r="I62" s="85"/>
      <c r="J62" s="85"/>
      <c r="K62" s="85"/>
      <c r="L62" s="85"/>
      <c r="M62" s="88"/>
      <c r="N62" s="104" t="s">
        <v>498</v>
      </c>
      <c r="O62" s="88"/>
      <c r="P62" s="88"/>
      <c r="Q62" s="88"/>
      <c r="R62" s="88"/>
      <c r="S62" s="88"/>
      <c r="T62" s="88"/>
    </row>
    <row r="63" spans="2:20" x14ac:dyDescent="0.25">
      <c r="B63" s="85"/>
      <c r="C63" s="85"/>
      <c r="D63" s="85"/>
      <c r="E63" s="85"/>
      <c r="F63" s="85"/>
      <c r="G63" s="85"/>
      <c r="H63" s="85"/>
      <c r="I63" s="85"/>
      <c r="J63" s="85"/>
      <c r="K63" s="85"/>
      <c r="L63" s="85"/>
      <c r="M63" s="88"/>
      <c r="N63" s="88"/>
      <c r="O63" s="88"/>
      <c r="P63" s="88"/>
      <c r="Q63" s="88"/>
      <c r="R63" s="88"/>
      <c r="S63" s="88"/>
      <c r="T63" s="88"/>
    </row>
    <row r="64" spans="2:20" ht="15.75" thickBot="1" x14ac:dyDescent="0.3">
      <c r="B64" s="113"/>
      <c r="C64" s="113"/>
      <c r="D64" s="113"/>
      <c r="E64" s="113"/>
      <c r="F64" s="113"/>
      <c r="G64" s="113"/>
      <c r="H64" s="113"/>
      <c r="I64" s="113"/>
      <c r="J64" s="113"/>
      <c r="K64" s="113"/>
      <c r="L64" s="113"/>
      <c r="M64" s="113"/>
      <c r="N64" s="113"/>
      <c r="O64" s="85"/>
      <c r="P64" s="85"/>
      <c r="Q64" s="85"/>
      <c r="R64" s="113"/>
      <c r="S64" s="113"/>
      <c r="T64" s="113"/>
    </row>
    <row r="65" spans="2:20" ht="15.75" thickTop="1" x14ac:dyDescent="0.25">
      <c r="B65" s="85"/>
      <c r="C65" s="85"/>
      <c r="D65" s="85"/>
      <c r="E65" s="85"/>
      <c r="F65" s="85"/>
      <c r="G65" s="85"/>
      <c r="H65" s="85"/>
      <c r="I65" s="85"/>
      <c r="J65" s="85"/>
      <c r="K65" s="85"/>
      <c r="L65" s="85"/>
      <c r="M65" s="85"/>
      <c r="N65" s="85"/>
      <c r="O65" s="125"/>
      <c r="P65" s="125"/>
      <c r="Q65" s="125"/>
      <c r="R65" s="85"/>
      <c r="S65" s="85"/>
      <c r="T65" s="85"/>
    </row>
    <row r="66" spans="2:20" ht="18.75" x14ac:dyDescent="0.3">
      <c r="B66" s="97" t="s">
        <v>499</v>
      </c>
      <c r="C66" s="85"/>
      <c r="D66" s="85"/>
      <c r="E66" s="85"/>
      <c r="F66" s="85"/>
      <c r="G66" s="85"/>
      <c r="H66" s="85"/>
      <c r="I66" s="85"/>
      <c r="J66" s="85"/>
      <c r="K66" s="85"/>
      <c r="L66" s="85"/>
      <c r="M66" s="85"/>
      <c r="N66" s="85"/>
      <c r="O66" s="85"/>
      <c r="P66" s="85"/>
      <c r="Q66" s="85"/>
      <c r="R66" s="85"/>
      <c r="S66" s="85"/>
      <c r="T66" s="85"/>
    </row>
    <row r="67" spans="2:20" ht="34.5" x14ac:dyDescent="0.45">
      <c r="B67" s="105" t="s">
        <v>500</v>
      </c>
      <c r="C67" s="85"/>
      <c r="D67" s="85"/>
      <c r="E67" s="85"/>
      <c r="F67" s="85"/>
      <c r="G67" s="85"/>
      <c r="H67" s="85"/>
      <c r="I67" s="85"/>
      <c r="J67" s="85"/>
      <c r="K67" s="85"/>
      <c r="L67" s="85"/>
      <c r="M67" s="85"/>
      <c r="N67" s="85"/>
      <c r="O67" s="85"/>
      <c r="P67" s="85"/>
      <c r="Q67" s="85"/>
      <c r="R67" s="85"/>
      <c r="S67" s="85"/>
      <c r="T67" s="85"/>
    </row>
    <row r="68" spans="2:20" x14ac:dyDescent="0.25">
      <c r="B68" s="85"/>
      <c r="C68" s="85"/>
      <c r="D68" s="85"/>
      <c r="E68" s="85"/>
      <c r="F68" s="85"/>
      <c r="G68" s="85"/>
      <c r="H68" s="85"/>
      <c r="I68" s="85"/>
      <c r="J68" s="85"/>
      <c r="K68" s="85"/>
      <c r="L68" s="85"/>
      <c r="M68" s="93"/>
      <c r="N68" s="93"/>
      <c r="O68" s="93"/>
      <c r="P68" s="93"/>
      <c r="Q68" s="93"/>
      <c r="R68" s="93"/>
      <c r="S68" s="93"/>
      <c r="T68" s="93"/>
    </row>
    <row r="69" spans="2:20" ht="15.75" x14ac:dyDescent="0.25">
      <c r="B69" s="85"/>
      <c r="C69" s="85"/>
      <c r="D69" s="85"/>
      <c r="E69" s="85"/>
      <c r="F69" s="85"/>
      <c r="G69" s="85"/>
      <c r="H69" s="85"/>
      <c r="I69" s="85"/>
      <c r="J69" s="85"/>
      <c r="K69" s="85"/>
      <c r="L69" s="85"/>
      <c r="M69" s="93"/>
      <c r="N69" s="100" t="s">
        <v>501</v>
      </c>
      <c r="O69" s="93"/>
      <c r="P69" s="93"/>
      <c r="Q69" s="93"/>
      <c r="R69" s="93"/>
      <c r="S69" s="93"/>
      <c r="T69" s="93"/>
    </row>
    <row r="70" spans="2:20" ht="20.25" x14ac:dyDescent="0.3">
      <c r="B70" s="85"/>
      <c r="C70" s="85"/>
      <c r="D70" s="85"/>
      <c r="E70" s="85"/>
      <c r="F70" s="85"/>
      <c r="G70" s="85"/>
      <c r="H70" s="85"/>
      <c r="I70" s="85"/>
      <c r="J70" s="85"/>
      <c r="K70" s="85"/>
      <c r="L70" s="85"/>
      <c r="M70" s="93"/>
      <c r="N70" s="101" t="s">
        <v>504</v>
      </c>
      <c r="O70" s="93"/>
      <c r="P70" s="93"/>
      <c r="Q70" s="93"/>
      <c r="R70" s="93"/>
      <c r="S70" s="93"/>
      <c r="T70" s="93"/>
    </row>
    <row r="71" spans="2:20" ht="20.25" x14ac:dyDescent="0.3">
      <c r="B71" s="85"/>
      <c r="C71" s="85"/>
      <c r="D71" s="85"/>
      <c r="E71" s="85"/>
      <c r="F71" s="85"/>
      <c r="G71" s="85"/>
      <c r="H71" s="85"/>
      <c r="I71" s="85"/>
      <c r="J71" s="85"/>
      <c r="K71" s="85"/>
      <c r="L71" s="85"/>
      <c r="M71" s="93"/>
      <c r="N71" s="101" t="s">
        <v>21</v>
      </c>
      <c r="O71" s="93"/>
      <c r="P71" s="93"/>
      <c r="Q71" s="93"/>
      <c r="R71" s="93"/>
      <c r="S71" s="93"/>
      <c r="T71" s="93"/>
    </row>
    <row r="72" spans="2:20" x14ac:dyDescent="0.25">
      <c r="B72" s="85"/>
      <c r="C72" s="85"/>
      <c r="D72" s="85"/>
      <c r="E72" s="85"/>
      <c r="F72" s="85"/>
      <c r="G72" s="85"/>
      <c r="H72" s="85"/>
      <c r="I72" s="85"/>
      <c r="J72" s="85"/>
      <c r="K72" s="85"/>
      <c r="L72" s="85"/>
      <c r="M72" s="93"/>
      <c r="N72" s="141" t="s">
        <v>502</v>
      </c>
      <c r="O72" s="93"/>
      <c r="P72" s="93"/>
      <c r="Q72" s="93"/>
      <c r="R72" s="93"/>
      <c r="S72" s="93"/>
      <c r="T72" s="93"/>
    </row>
    <row r="73" spans="2:20" x14ac:dyDescent="0.25">
      <c r="B73" s="85"/>
      <c r="C73" s="85"/>
      <c r="D73" s="85"/>
      <c r="E73" s="85"/>
      <c r="F73" s="85"/>
      <c r="G73" s="85"/>
      <c r="H73" s="85"/>
      <c r="I73" s="85"/>
      <c r="J73" s="85"/>
      <c r="K73" s="85"/>
      <c r="L73" s="85"/>
      <c r="M73" s="93"/>
      <c r="N73" s="112" t="s">
        <v>503</v>
      </c>
      <c r="O73" s="93"/>
      <c r="P73" s="93"/>
      <c r="Q73" s="93"/>
      <c r="R73" s="93"/>
      <c r="S73" s="93"/>
      <c r="T73" s="93"/>
    </row>
    <row r="74" spans="2:20" x14ac:dyDescent="0.25">
      <c r="B74" s="85"/>
      <c r="C74" s="85"/>
      <c r="D74" s="85"/>
      <c r="E74" s="85"/>
      <c r="F74" s="85"/>
      <c r="G74" s="85"/>
      <c r="H74" s="85"/>
      <c r="I74" s="85"/>
      <c r="J74" s="85"/>
      <c r="K74" s="85"/>
      <c r="L74" s="85"/>
      <c r="M74" s="93"/>
      <c r="N74" s="93"/>
      <c r="O74" s="93"/>
      <c r="P74" s="93"/>
      <c r="Q74" s="93"/>
      <c r="R74" s="93"/>
      <c r="S74" s="93"/>
      <c r="T74" s="93"/>
    </row>
    <row r="75" spans="2:20" x14ac:dyDescent="0.25">
      <c r="B75" s="85"/>
      <c r="C75" s="85"/>
      <c r="D75" s="85"/>
      <c r="E75" s="85"/>
      <c r="F75" s="85"/>
      <c r="G75" s="85"/>
      <c r="H75" s="85"/>
      <c r="I75" s="85"/>
      <c r="J75" s="85"/>
      <c r="K75" s="85"/>
      <c r="L75" s="85"/>
      <c r="M75" s="85"/>
      <c r="N75" s="85"/>
      <c r="O75" s="85"/>
      <c r="P75" s="85"/>
      <c r="Q75" s="85"/>
      <c r="R75" s="85"/>
      <c r="S75" s="85"/>
      <c r="T75" s="85"/>
    </row>
    <row r="76" spans="2:20" x14ac:dyDescent="0.25">
      <c r="B76" s="85"/>
      <c r="C76" s="85"/>
      <c r="D76" s="85"/>
      <c r="E76" s="85"/>
      <c r="F76" s="85"/>
      <c r="G76" s="85"/>
      <c r="H76" s="85"/>
      <c r="I76" s="85"/>
      <c r="J76" s="85"/>
      <c r="K76" s="85"/>
      <c r="L76" s="85"/>
      <c r="M76" s="88"/>
      <c r="N76" s="88"/>
      <c r="O76" s="88"/>
      <c r="P76" s="88"/>
      <c r="Q76" s="88"/>
      <c r="R76" s="88"/>
      <c r="S76" s="88"/>
      <c r="T76" s="88"/>
    </row>
    <row r="77" spans="2:20" ht="15.75" x14ac:dyDescent="0.25">
      <c r="B77" s="85"/>
      <c r="C77" s="85"/>
      <c r="D77" s="85"/>
      <c r="E77" s="85"/>
      <c r="F77" s="85"/>
      <c r="G77" s="85"/>
      <c r="H77" s="85"/>
      <c r="I77" s="85"/>
      <c r="J77" s="85"/>
      <c r="K77" s="85"/>
      <c r="L77" s="85"/>
      <c r="M77" s="88"/>
      <c r="N77" s="109" t="s">
        <v>505</v>
      </c>
      <c r="O77" s="88"/>
      <c r="P77" s="88"/>
      <c r="Q77" s="88"/>
      <c r="R77" s="88"/>
      <c r="S77" s="88"/>
      <c r="T77" s="88"/>
    </row>
    <row r="78" spans="2:20" ht="20.25" x14ac:dyDescent="0.3">
      <c r="B78" s="85"/>
      <c r="C78" s="85"/>
      <c r="D78" s="85"/>
      <c r="E78" s="85"/>
      <c r="F78" s="85"/>
      <c r="G78" s="85"/>
      <c r="H78" s="85"/>
      <c r="I78" s="85"/>
      <c r="J78" s="85"/>
      <c r="K78" s="85"/>
      <c r="L78" s="85"/>
      <c r="M78" s="88"/>
      <c r="N78" s="110" t="s">
        <v>509</v>
      </c>
      <c r="O78" s="88"/>
      <c r="P78" s="88"/>
      <c r="Q78" s="88"/>
      <c r="R78" s="88"/>
      <c r="S78" s="88"/>
      <c r="T78" s="88"/>
    </row>
    <row r="79" spans="2:20" ht="20.25" x14ac:dyDescent="0.3">
      <c r="B79" s="85"/>
      <c r="C79" s="85"/>
      <c r="D79" s="85"/>
      <c r="E79" s="85"/>
      <c r="F79" s="85"/>
      <c r="G79" s="85"/>
      <c r="H79" s="85"/>
      <c r="I79" s="85"/>
      <c r="J79" s="85"/>
      <c r="K79" s="85"/>
      <c r="L79" s="85"/>
      <c r="M79" s="88"/>
      <c r="N79" s="110" t="s">
        <v>25</v>
      </c>
      <c r="O79" s="88"/>
      <c r="P79" s="88"/>
      <c r="Q79" s="88"/>
      <c r="R79" s="88"/>
      <c r="S79" s="88"/>
      <c r="T79" s="88"/>
    </row>
    <row r="80" spans="2:20" x14ac:dyDescent="0.25">
      <c r="B80" s="85"/>
      <c r="C80" s="85"/>
      <c r="D80" s="85"/>
      <c r="E80" s="85"/>
      <c r="F80" s="85"/>
      <c r="G80" s="85"/>
      <c r="H80" s="85"/>
      <c r="I80" s="85"/>
      <c r="J80" s="85"/>
      <c r="K80" s="85"/>
      <c r="L80" s="85"/>
      <c r="M80" s="88"/>
      <c r="N80" s="111" t="s">
        <v>506</v>
      </c>
      <c r="O80" s="88"/>
      <c r="P80" s="88"/>
      <c r="Q80" s="88"/>
      <c r="R80" s="88"/>
      <c r="S80" s="88"/>
      <c r="T80" s="88"/>
    </row>
    <row r="81" spans="2:20" x14ac:dyDescent="0.25">
      <c r="B81" s="85"/>
      <c r="C81" s="85"/>
      <c r="D81" s="85"/>
      <c r="E81" s="85"/>
      <c r="F81" s="85"/>
      <c r="G81" s="85"/>
      <c r="H81" s="85"/>
      <c r="I81" s="85"/>
      <c r="J81" s="85"/>
      <c r="K81" s="85"/>
      <c r="L81" s="85"/>
      <c r="M81" s="88"/>
      <c r="N81" s="111" t="s">
        <v>507</v>
      </c>
      <c r="O81" s="88"/>
      <c r="P81" s="88"/>
      <c r="Q81" s="88"/>
      <c r="R81" s="88"/>
      <c r="S81" s="88"/>
      <c r="T81" s="88"/>
    </row>
    <row r="82" spans="2:20" x14ac:dyDescent="0.25">
      <c r="B82" s="85"/>
      <c r="C82" s="85"/>
      <c r="D82" s="85"/>
      <c r="E82" s="85"/>
      <c r="F82" s="85"/>
      <c r="G82" s="85"/>
      <c r="H82" s="85"/>
      <c r="I82" s="85"/>
      <c r="J82" s="85"/>
      <c r="K82" s="85"/>
      <c r="L82" s="85"/>
      <c r="M82" s="88"/>
      <c r="N82" s="111" t="s">
        <v>508</v>
      </c>
      <c r="O82" s="88"/>
      <c r="P82" s="88"/>
      <c r="Q82" s="88"/>
      <c r="R82" s="88"/>
      <c r="S82" s="88"/>
      <c r="T82" s="88"/>
    </row>
    <row r="83" spans="2:20" x14ac:dyDescent="0.25">
      <c r="B83" s="85"/>
      <c r="C83" s="85"/>
      <c r="D83" s="85"/>
      <c r="E83" s="85"/>
      <c r="F83" s="85"/>
      <c r="G83" s="85"/>
      <c r="H83" s="85"/>
      <c r="I83" s="85"/>
      <c r="J83" s="85"/>
      <c r="K83" s="85"/>
      <c r="L83" s="85"/>
      <c r="M83" s="88"/>
      <c r="N83" s="111" t="s">
        <v>510</v>
      </c>
      <c r="O83" s="88"/>
      <c r="P83" s="88"/>
      <c r="Q83" s="88"/>
      <c r="R83" s="88"/>
      <c r="S83" s="88"/>
      <c r="T83" s="88"/>
    </row>
    <row r="84" spans="2:20" x14ac:dyDescent="0.25">
      <c r="B84" s="85"/>
      <c r="C84" s="85"/>
      <c r="D84" s="85"/>
      <c r="E84" s="85"/>
      <c r="F84" s="85"/>
      <c r="G84" s="85"/>
      <c r="H84" s="85"/>
      <c r="I84" s="85"/>
      <c r="J84" s="85"/>
      <c r="K84" s="85"/>
      <c r="L84" s="85"/>
      <c r="M84" s="88"/>
      <c r="N84" s="111" t="s">
        <v>511</v>
      </c>
      <c r="O84" s="88"/>
      <c r="P84" s="88"/>
      <c r="Q84" s="88"/>
      <c r="R84" s="88"/>
      <c r="S84" s="88"/>
      <c r="T84" s="88"/>
    </row>
    <row r="85" spans="2:20" x14ac:dyDescent="0.25">
      <c r="B85" s="85"/>
      <c r="C85" s="85"/>
      <c r="D85" s="85"/>
      <c r="E85" s="85"/>
      <c r="F85" s="85"/>
      <c r="G85" s="85"/>
      <c r="H85" s="85"/>
      <c r="I85" s="85"/>
      <c r="J85" s="85"/>
      <c r="K85" s="85"/>
      <c r="L85" s="85"/>
      <c r="M85" s="88"/>
      <c r="N85" s="88"/>
      <c r="O85" s="88"/>
      <c r="P85" s="88"/>
      <c r="Q85" s="88"/>
      <c r="R85" s="88"/>
      <c r="S85" s="88"/>
      <c r="T85" s="88"/>
    </row>
    <row r="86" spans="2:20" ht="15.75" thickBot="1" x14ac:dyDescent="0.3">
      <c r="B86" s="113"/>
      <c r="C86" s="113"/>
      <c r="D86" s="113"/>
      <c r="E86" s="113"/>
      <c r="F86" s="113"/>
      <c r="G86" s="113"/>
      <c r="H86" s="113"/>
      <c r="I86" s="113"/>
      <c r="J86" s="113"/>
      <c r="K86" s="113"/>
      <c r="L86" s="113"/>
      <c r="M86" s="113"/>
      <c r="N86" s="113"/>
      <c r="O86" s="113"/>
      <c r="P86" s="113"/>
      <c r="Q86" s="85"/>
      <c r="R86" s="113"/>
      <c r="S86" s="85"/>
      <c r="T86" s="85"/>
    </row>
    <row r="87" spans="2:20" ht="15.75" thickTop="1" x14ac:dyDescent="0.25">
      <c r="B87" s="85"/>
      <c r="C87" s="85"/>
      <c r="D87" s="85"/>
      <c r="E87" s="85"/>
      <c r="F87" s="85"/>
      <c r="G87" s="85"/>
      <c r="H87" s="85"/>
      <c r="I87" s="85"/>
      <c r="J87" s="85"/>
      <c r="K87" s="85"/>
      <c r="L87" s="85"/>
      <c r="M87" s="85"/>
      <c r="N87" s="85"/>
      <c r="O87" s="85"/>
      <c r="P87" s="85"/>
      <c r="Q87" s="125"/>
      <c r="R87" s="85"/>
      <c r="S87" s="125"/>
      <c r="T87" s="125"/>
    </row>
    <row r="88" spans="2:20" ht="18.75" x14ac:dyDescent="0.3">
      <c r="B88" s="97" t="s">
        <v>512</v>
      </c>
      <c r="C88" s="85"/>
      <c r="D88" s="85"/>
      <c r="E88" s="85"/>
      <c r="F88" s="85"/>
      <c r="G88" s="85"/>
      <c r="H88" s="85"/>
      <c r="I88" s="85"/>
      <c r="J88" s="85"/>
      <c r="K88" s="85"/>
      <c r="L88" s="85"/>
      <c r="M88" s="85"/>
      <c r="N88" s="85"/>
      <c r="O88" s="85"/>
      <c r="P88" s="85"/>
      <c r="Q88" s="85"/>
      <c r="R88" s="85"/>
      <c r="S88" s="85"/>
      <c r="T88" s="85"/>
    </row>
    <row r="89" spans="2:20" ht="34.5" x14ac:dyDescent="0.45">
      <c r="B89" s="119" t="s">
        <v>513</v>
      </c>
      <c r="C89" s="85"/>
      <c r="D89" s="85"/>
      <c r="E89" s="85"/>
      <c r="F89" s="85"/>
      <c r="G89" s="85"/>
      <c r="H89" s="85"/>
      <c r="I89" s="85"/>
      <c r="J89" s="85"/>
      <c r="K89" s="85"/>
      <c r="L89" s="85"/>
      <c r="M89" s="85"/>
      <c r="N89" s="85"/>
      <c r="O89" s="85"/>
      <c r="P89" s="85"/>
      <c r="Q89" s="85"/>
      <c r="R89" s="85"/>
      <c r="S89" s="85"/>
      <c r="T89" s="85"/>
    </row>
    <row r="90" spans="2:20" x14ac:dyDescent="0.25">
      <c r="B90" s="85"/>
      <c r="C90" s="85"/>
      <c r="D90" s="85"/>
      <c r="E90" s="85"/>
      <c r="F90" s="85"/>
      <c r="G90" s="85"/>
      <c r="H90" s="85"/>
      <c r="I90" s="85"/>
      <c r="J90" s="85"/>
      <c r="K90" s="85"/>
      <c r="L90" s="85"/>
      <c r="M90" s="85"/>
      <c r="N90" s="85"/>
      <c r="O90" s="85"/>
      <c r="P90" s="85"/>
      <c r="Q90" s="85"/>
      <c r="R90" s="85"/>
      <c r="T90" s="85"/>
    </row>
    <row r="91" spans="2:20" x14ac:dyDescent="0.25">
      <c r="B91" s="93"/>
      <c r="C91" s="93"/>
      <c r="D91" s="93"/>
      <c r="E91" s="93"/>
      <c r="F91" s="93"/>
      <c r="G91" s="85"/>
      <c r="H91" s="93"/>
      <c r="I91" s="93"/>
      <c r="J91" s="93"/>
      <c r="K91" s="93"/>
      <c r="L91" s="93"/>
      <c r="M91" s="93"/>
      <c r="N91" s="93"/>
      <c r="O91" s="85"/>
      <c r="P91" s="93"/>
      <c r="Q91" s="93"/>
      <c r="R91" s="93"/>
      <c r="S91" s="93"/>
      <c r="T91" s="93"/>
    </row>
    <row r="92" spans="2:20" ht="21" customHeight="1" x14ac:dyDescent="0.25">
      <c r="B92" s="93"/>
      <c r="C92" s="197" t="s">
        <v>514</v>
      </c>
      <c r="D92" s="197"/>
      <c r="E92" s="197"/>
      <c r="F92" s="93"/>
      <c r="G92" s="85"/>
      <c r="H92" s="93"/>
      <c r="I92" s="121"/>
      <c r="J92" s="196" t="s">
        <v>515</v>
      </c>
      <c r="K92" s="196"/>
      <c r="L92" s="196"/>
      <c r="M92" s="93"/>
      <c r="N92" s="93"/>
      <c r="O92" s="85"/>
      <c r="P92" s="93"/>
      <c r="Q92" s="198" t="s">
        <v>516</v>
      </c>
      <c r="R92" s="198"/>
      <c r="S92" s="198"/>
      <c r="T92" s="93"/>
    </row>
    <row r="93" spans="2:20" ht="21" customHeight="1" x14ac:dyDescent="0.25">
      <c r="B93" s="93"/>
      <c r="C93" s="197"/>
      <c r="D93" s="197"/>
      <c r="E93" s="197"/>
      <c r="F93" s="93"/>
      <c r="G93" s="85"/>
      <c r="H93" s="93"/>
      <c r="I93" s="121"/>
      <c r="J93" s="196"/>
      <c r="K93" s="196"/>
      <c r="L93" s="196"/>
      <c r="M93" s="93"/>
      <c r="N93" s="93"/>
      <c r="O93" s="85"/>
      <c r="P93" s="93"/>
      <c r="Q93" s="198"/>
      <c r="R93" s="198"/>
      <c r="S93" s="198"/>
      <c r="T93" s="93"/>
    </row>
    <row r="94" spans="2:20" x14ac:dyDescent="0.25">
      <c r="B94" s="93"/>
      <c r="C94" s="93"/>
      <c r="D94" s="93"/>
      <c r="E94" s="93"/>
      <c r="F94" s="93"/>
      <c r="G94" s="85"/>
      <c r="H94" s="93"/>
      <c r="I94" s="93"/>
      <c r="J94" s="93"/>
      <c r="K94" s="93"/>
      <c r="L94" s="93"/>
      <c r="M94" s="93"/>
      <c r="N94" s="93"/>
      <c r="O94" s="85"/>
      <c r="P94" s="93"/>
      <c r="Q94" s="93"/>
      <c r="R94" s="93"/>
      <c r="S94" s="93"/>
      <c r="T94" s="93"/>
    </row>
    <row r="95" spans="2:20" ht="18.75" x14ac:dyDescent="0.3">
      <c r="B95" s="122" t="s">
        <v>517</v>
      </c>
      <c r="C95" s="123"/>
      <c r="D95" s="123"/>
      <c r="E95" s="123"/>
      <c r="F95" s="123"/>
      <c r="G95" s="85"/>
      <c r="H95" s="122"/>
      <c r="I95" s="192" t="s">
        <v>520</v>
      </c>
      <c r="J95" s="192"/>
      <c r="K95" s="192"/>
      <c r="L95" s="192"/>
      <c r="M95" s="192"/>
      <c r="N95" s="123"/>
      <c r="O95" s="85"/>
      <c r="P95" s="122" t="s">
        <v>519</v>
      </c>
      <c r="Q95" s="123"/>
      <c r="R95" s="123"/>
      <c r="S95" s="123"/>
      <c r="T95" s="123"/>
    </row>
    <row r="96" spans="2:20" ht="18.75" x14ac:dyDescent="0.3">
      <c r="B96" s="122" t="s">
        <v>518</v>
      </c>
      <c r="C96" s="123"/>
      <c r="D96" s="123"/>
      <c r="E96" s="123"/>
      <c r="F96" s="123"/>
      <c r="G96" s="85"/>
      <c r="H96" s="115"/>
      <c r="I96" s="192"/>
      <c r="J96" s="192"/>
      <c r="K96" s="192"/>
      <c r="L96" s="192"/>
      <c r="M96" s="192"/>
      <c r="N96" s="93"/>
      <c r="O96" s="85"/>
      <c r="P96" s="122" t="s">
        <v>25</v>
      </c>
      <c r="Q96" s="123"/>
      <c r="R96" s="123"/>
      <c r="S96" s="123"/>
      <c r="T96" s="123"/>
    </row>
    <row r="97" spans="2:20" ht="15.75" customHeight="1" x14ac:dyDescent="0.3">
      <c r="B97" s="122"/>
      <c r="C97" s="193" t="s">
        <v>521</v>
      </c>
      <c r="D97" s="193"/>
      <c r="E97" s="193"/>
      <c r="F97" s="123"/>
      <c r="G97" s="85"/>
      <c r="H97" s="115"/>
      <c r="I97" s="194" t="s">
        <v>522</v>
      </c>
      <c r="J97" s="194"/>
      <c r="K97" s="194"/>
      <c r="L97" s="194"/>
      <c r="M97" s="194"/>
      <c r="N97" s="93"/>
      <c r="O97" s="85"/>
      <c r="P97" s="122"/>
      <c r="Q97" s="195" t="s">
        <v>523</v>
      </c>
      <c r="R97" s="195"/>
      <c r="S97" s="195"/>
      <c r="T97" s="123"/>
    </row>
    <row r="98" spans="2:20" ht="6.75" customHeight="1" thickBot="1" x14ac:dyDescent="0.3">
      <c r="B98" s="93"/>
      <c r="C98" s="117"/>
      <c r="D98" s="117"/>
      <c r="E98" s="117"/>
      <c r="F98" s="93"/>
      <c r="G98" s="85"/>
      <c r="H98" s="93"/>
      <c r="I98" s="93"/>
      <c r="J98" s="117"/>
      <c r="K98" s="93"/>
      <c r="L98" s="93"/>
      <c r="M98" s="93"/>
      <c r="N98" s="93"/>
      <c r="O98" s="85"/>
      <c r="P98" s="93"/>
      <c r="Q98" s="117"/>
      <c r="R98" s="117"/>
      <c r="S98" s="117"/>
      <c r="T98" s="93"/>
    </row>
    <row r="99" spans="2:20" x14ac:dyDescent="0.25">
      <c r="B99" s="93"/>
      <c r="C99" s="93"/>
      <c r="D99" s="93"/>
      <c r="E99" s="93"/>
      <c r="F99" s="93"/>
      <c r="G99" s="85"/>
      <c r="H99" s="93"/>
      <c r="I99" s="118"/>
      <c r="J99" s="93"/>
      <c r="K99" s="118"/>
      <c r="L99" s="118"/>
      <c r="M99" s="118"/>
      <c r="N99" s="93"/>
      <c r="O99" s="85"/>
      <c r="P99" s="93"/>
      <c r="Q99" s="118"/>
      <c r="R99" s="93"/>
      <c r="S99" s="93"/>
      <c r="T99" s="93"/>
    </row>
    <row r="100" spans="2:20" x14ac:dyDescent="0.25">
      <c r="B100" s="140" t="s">
        <v>524</v>
      </c>
      <c r="C100" s="123"/>
      <c r="D100" s="123"/>
      <c r="E100" s="123"/>
      <c r="F100" s="123"/>
      <c r="G100" s="85"/>
      <c r="H100" s="140" t="s">
        <v>526</v>
      </c>
      <c r="I100" s="123"/>
      <c r="J100" s="123"/>
      <c r="K100" s="123"/>
      <c r="L100" s="123"/>
      <c r="M100" s="123"/>
      <c r="N100" s="123"/>
      <c r="O100" s="85"/>
      <c r="P100" s="140" t="s">
        <v>528</v>
      </c>
      <c r="Q100" s="123"/>
      <c r="R100" s="123"/>
      <c r="S100" s="123"/>
      <c r="T100" s="123"/>
    </row>
    <row r="101" spans="2:20" x14ac:dyDescent="0.25">
      <c r="B101" s="140" t="s">
        <v>525</v>
      </c>
      <c r="C101" s="123"/>
      <c r="D101" s="123"/>
      <c r="E101" s="123"/>
      <c r="F101" s="123"/>
      <c r="G101" s="85"/>
      <c r="H101" s="140" t="s">
        <v>527</v>
      </c>
      <c r="I101" s="123"/>
      <c r="J101" s="123"/>
      <c r="K101" s="123"/>
      <c r="L101" s="123"/>
      <c r="M101" s="123"/>
      <c r="N101" s="123"/>
      <c r="O101" s="85"/>
      <c r="P101" s="140" t="s">
        <v>529</v>
      </c>
      <c r="Q101" s="123"/>
      <c r="R101" s="123"/>
      <c r="S101" s="123"/>
      <c r="T101" s="123"/>
    </row>
    <row r="102" spans="2:20" x14ac:dyDescent="0.25">
      <c r="B102" s="93"/>
      <c r="C102" s="93"/>
      <c r="D102" s="93"/>
      <c r="E102" s="93"/>
      <c r="F102" s="93"/>
      <c r="G102" s="85"/>
      <c r="H102" s="93"/>
      <c r="I102" s="93"/>
      <c r="J102" s="93"/>
      <c r="K102" s="93"/>
      <c r="L102" s="93"/>
      <c r="M102" s="93"/>
      <c r="N102" s="93"/>
      <c r="O102" s="85"/>
      <c r="P102" s="93"/>
      <c r="Q102" s="93"/>
      <c r="R102" s="93"/>
      <c r="S102" s="93"/>
      <c r="T102" s="93"/>
    </row>
    <row r="103" spans="2:20" ht="15.75" thickBot="1" x14ac:dyDescent="0.3">
      <c r="B103" s="113"/>
      <c r="C103" s="113"/>
      <c r="D103" s="85"/>
      <c r="E103" s="113"/>
      <c r="F103" s="113"/>
      <c r="G103" s="85"/>
      <c r="H103" s="113"/>
      <c r="I103" s="113"/>
      <c r="J103" s="113"/>
      <c r="K103" s="113"/>
      <c r="L103" s="85"/>
      <c r="M103" s="85"/>
      <c r="N103" s="85"/>
      <c r="O103" s="85"/>
      <c r="P103" s="85"/>
      <c r="Q103" s="113"/>
      <c r="R103" s="85"/>
      <c r="S103" s="85"/>
      <c r="T103" s="85"/>
    </row>
    <row r="104" spans="2:20" ht="15.75" thickTop="1" x14ac:dyDescent="0.25">
      <c r="B104" s="85"/>
      <c r="C104" s="85"/>
      <c r="D104" s="125"/>
      <c r="E104" s="85"/>
      <c r="F104" s="85"/>
      <c r="G104" s="125"/>
      <c r="H104" s="85"/>
      <c r="I104" s="85"/>
      <c r="J104" s="85"/>
      <c r="K104" s="85"/>
      <c r="L104" s="125"/>
      <c r="M104" s="125"/>
      <c r="N104" s="125"/>
      <c r="O104" s="125"/>
      <c r="P104" s="125"/>
      <c r="Q104" s="85"/>
      <c r="R104" s="125"/>
      <c r="S104" s="125"/>
      <c r="T104" s="125"/>
    </row>
    <row r="105" spans="2:20" ht="18.75" x14ac:dyDescent="0.3">
      <c r="B105" s="97" t="s">
        <v>530</v>
      </c>
      <c r="C105" s="85"/>
      <c r="D105" s="85"/>
      <c r="E105" s="85"/>
      <c r="F105" s="85"/>
      <c r="G105" s="85"/>
      <c r="H105" s="85"/>
      <c r="I105" s="85"/>
      <c r="J105" s="85"/>
      <c r="K105" s="85"/>
      <c r="L105" s="85"/>
      <c r="M105" s="85"/>
      <c r="N105" s="85"/>
      <c r="O105" s="85"/>
      <c r="P105" s="85"/>
      <c r="Q105" s="85"/>
      <c r="R105" s="85"/>
      <c r="S105" s="85"/>
      <c r="T105" s="85"/>
    </row>
    <row r="106" spans="2:20" ht="33" x14ac:dyDescent="0.45">
      <c r="B106" s="129" t="s">
        <v>531</v>
      </c>
      <c r="C106" s="85"/>
      <c r="D106" s="85"/>
      <c r="E106" s="85"/>
      <c r="F106" s="85"/>
      <c r="G106" s="85"/>
      <c r="H106" s="85"/>
      <c r="I106" s="85"/>
      <c r="J106" s="85"/>
      <c r="K106" s="85"/>
      <c r="L106" s="85"/>
      <c r="M106" s="85"/>
      <c r="N106" s="85"/>
      <c r="O106" s="85"/>
      <c r="P106" s="85"/>
      <c r="Q106" s="85"/>
      <c r="R106" s="85"/>
      <c r="S106" s="85"/>
      <c r="T106" s="85"/>
    </row>
    <row r="107" spans="2:20" x14ac:dyDescent="0.25">
      <c r="B107" s="85"/>
      <c r="C107" s="85"/>
      <c r="D107" s="85"/>
      <c r="E107" s="85"/>
      <c r="F107" s="85"/>
      <c r="G107" s="85"/>
      <c r="H107" s="85"/>
      <c r="I107" s="85"/>
      <c r="J107" s="85"/>
      <c r="K107" s="85"/>
      <c r="L107" s="85"/>
      <c r="M107" s="93"/>
      <c r="N107" s="93"/>
      <c r="O107" s="93"/>
      <c r="P107" s="93"/>
      <c r="Q107" s="93"/>
      <c r="R107" s="93"/>
      <c r="S107" s="93"/>
      <c r="T107" s="93"/>
    </row>
    <row r="108" spans="2:20" ht="21" x14ac:dyDescent="0.35">
      <c r="B108" s="85"/>
      <c r="C108" s="85"/>
      <c r="D108" s="85"/>
      <c r="E108" s="85"/>
      <c r="F108" s="85"/>
      <c r="G108" s="85"/>
      <c r="H108" s="85"/>
      <c r="I108" s="85"/>
      <c r="J108" s="85"/>
      <c r="K108" s="85"/>
      <c r="L108" s="85"/>
      <c r="M108" s="93"/>
      <c r="N108" s="142" t="s">
        <v>532</v>
      </c>
      <c r="O108" s="93"/>
      <c r="P108" s="93"/>
      <c r="Q108" s="93"/>
      <c r="R108" s="93"/>
      <c r="S108" s="93"/>
      <c r="T108" s="93"/>
    </row>
    <row r="109" spans="2:20" ht="15" customHeight="1" x14ac:dyDescent="0.25">
      <c r="B109" s="85"/>
      <c r="C109" s="85"/>
      <c r="D109" s="85"/>
      <c r="E109" s="85"/>
      <c r="F109" s="85"/>
      <c r="G109" s="85"/>
      <c r="H109" s="85"/>
      <c r="I109" s="85"/>
      <c r="J109" s="85"/>
      <c r="K109" s="85"/>
      <c r="L109" s="85"/>
      <c r="M109" s="93"/>
      <c r="N109" s="144" t="s">
        <v>533</v>
      </c>
      <c r="O109" s="143"/>
      <c r="P109" s="143"/>
      <c r="Q109" s="143"/>
      <c r="R109" s="93"/>
      <c r="S109" s="144" t="s">
        <v>538</v>
      </c>
      <c r="T109" s="93"/>
    </row>
    <row r="110" spans="2:20" ht="15" customHeight="1" x14ac:dyDescent="0.25">
      <c r="B110" s="85"/>
      <c r="C110" s="85"/>
      <c r="D110" s="85"/>
      <c r="E110" s="85"/>
      <c r="F110" s="85"/>
      <c r="G110" s="85"/>
      <c r="H110" s="85"/>
      <c r="I110" s="85"/>
      <c r="J110" s="85"/>
      <c r="K110" s="85"/>
      <c r="L110" s="85"/>
      <c r="M110" s="93"/>
      <c r="N110" s="144" t="s">
        <v>534</v>
      </c>
      <c r="O110" s="143"/>
      <c r="P110" s="143"/>
      <c r="Q110" s="143"/>
      <c r="R110" s="93"/>
      <c r="S110" s="144" t="s">
        <v>539</v>
      </c>
      <c r="T110" s="93"/>
    </row>
    <row r="111" spans="2:20" ht="15" customHeight="1" x14ac:dyDescent="0.25">
      <c r="B111" s="85"/>
      <c r="C111" s="85"/>
      <c r="D111" s="85"/>
      <c r="E111" s="85"/>
      <c r="F111" s="85"/>
      <c r="G111" s="85"/>
      <c r="H111" s="85"/>
      <c r="I111" s="85"/>
      <c r="J111" s="85"/>
      <c r="K111" s="85"/>
      <c r="L111" s="85"/>
      <c r="M111" s="93"/>
      <c r="N111" s="144" t="s">
        <v>535</v>
      </c>
      <c r="O111" s="143"/>
      <c r="P111" s="143"/>
      <c r="Q111" s="143"/>
      <c r="R111" s="93"/>
      <c r="S111" s="144" t="s">
        <v>540</v>
      </c>
      <c r="T111" s="93"/>
    </row>
    <row r="112" spans="2:20" ht="15" customHeight="1" x14ac:dyDescent="0.25">
      <c r="B112" s="85"/>
      <c r="C112" s="85"/>
      <c r="D112" s="85"/>
      <c r="E112" s="85"/>
      <c r="F112" s="85"/>
      <c r="G112" s="85"/>
      <c r="H112" s="85"/>
      <c r="I112" s="85"/>
      <c r="J112" s="85"/>
      <c r="K112" s="85"/>
      <c r="L112" s="85"/>
      <c r="M112" s="93"/>
      <c r="N112" s="144" t="s">
        <v>536</v>
      </c>
      <c r="O112" s="143"/>
      <c r="P112" s="143"/>
      <c r="Q112" s="143"/>
      <c r="R112" s="93"/>
      <c r="S112" s="144" t="s">
        <v>541</v>
      </c>
      <c r="T112" s="93"/>
    </row>
    <row r="113" spans="2:20" ht="15" customHeight="1" x14ac:dyDescent="0.25">
      <c r="B113" s="85"/>
      <c r="C113" s="85"/>
      <c r="D113" s="85"/>
      <c r="E113" s="85"/>
      <c r="F113" s="85"/>
      <c r="G113" s="85"/>
      <c r="H113" s="85"/>
      <c r="I113" s="85"/>
      <c r="J113" s="85"/>
      <c r="K113" s="85"/>
      <c r="L113" s="85"/>
      <c r="M113" s="93"/>
      <c r="N113" s="144" t="s">
        <v>537</v>
      </c>
      <c r="O113" s="143"/>
      <c r="P113" s="143"/>
      <c r="Q113" s="143"/>
      <c r="R113" s="93"/>
      <c r="S113" s="144" t="s">
        <v>542</v>
      </c>
      <c r="T113" s="93"/>
    </row>
    <row r="114" spans="2:20" x14ac:dyDescent="0.25">
      <c r="B114" s="85"/>
      <c r="C114" s="85"/>
      <c r="D114" s="85"/>
      <c r="E114" s="85"/>
      <c r="F114" s="85"/>
      <c r="G114" s="85"/>
      <c r="H114" s="85"/>
      <c r="I114" s="85"/>
      <c r="J114" s="85"/>
      <c r="K114" s="85"/>
      <c r="L114" s="85"/>
      <c r="M114" s="93"/>
      <c r="N114" s="93"/>
      <c r="O114" s="93"/>
      <c r="P114" s="93"/>
      <c r="Q114" s="93"/>
      <c r="R114" s="93"/>
      <c r="S114" s="93"/>
      <c r="T114" s="93"/>
    </row>
    <row r="115" spans="2:20" x14ac:dyDescent="0.25">
      <c r="B115" s="85"/>
      <c r="C115" s="85"/>
      <c r="D115" s="85"/>
      <c r="E115" s="85"/>
      <c r="F115" s="85"/>
      <c r="G115" s="85"/>
      <c r="H115" s="85"/>
      <c r="I115" s="85"/>
      <c r="J115" s="85"/>
      <c r="K115" s="85"/>
      <c r="L115" s="85"/>
      <c r="M115" s="85"/>
      <c r="N115" s="85"/>
      <c r="O115" s="85"/>
      <c r="P115" s="85"/>
      <c r="Q115" s="85"/>
      <c r="R115" s="85"/>
      <c r="S115" s="85"/>
      <c r="T115" s="85"/>
    </row>
    <row r="116" spans="2:20" x14ac:dyDescent="0.25">
      <c r="B116" s="85"/>
      <c r="C116" s="85"/>
      <c r="D116" s="85"/>
      <c r="E116" s="85"/>
      <c r="F116" s="85"/>
      <c r="G116" s="85"/>
      <c r="H116" s="85"/>
      <c r="I116" s="85"/>
      <c r="J116" s="85"/>
      <c r="K116" s="85"/>
      <c r="L116" s="85"/>
      <c r="M116" s="88"/>
      <c r="N116" s="88"/>
      <c r="O116" s="88"/>
      <c r="P116" s="88"/>
      <c r="Q116" s="88"/>
      <c r="R116" s="88"/>
      <c r="S116" s="88"/>
      <c r="T116" s="88"/>
    </row>
    <row r="117" spans="2:20" ht="21" x14ac:dyDescent="0.35">
      <c r="B117" s="85"/>
      <c r="C117" s="85"/>
      <c r="D117" s="85"/>
      <c r="E117" s="85"/>
      <c r="F117" s="85"/>
      <c r="G117" s="85"/>
      <c r="H117" s="85"/>
      <c r="I117" s="85"/>
      <c r="J117" s="85"/>
      <c r="K117" s="85"/>
      <c r="L117" s="85"/>
      <c r="M117" s="88"/>
      <c r="N117" s="127" t="s">
        <v>543</v>
      </c>
      <c r="O117" s="88"/>
      <c r="P117" s="88"/>
      <c r="Q117" s="88"/>
      <c r="R117" s="88"/>
      <c r="S117" s="88"/>
      <c r="T117" s="88"/>
    </row>
    <row r="118" spans="2:20" x14ac:dyDescent="0.25">
      <c r="B118" s="85"/>
      <c r="C118" s="85"/>
      <c r="D118" s="85"/>
      <c r="E118" s="85"/>
      <c r="F118" s="85"/>
      <c r="G118" s="85"/>
      <c r="H118" s="85"/>
      <c r="I118" s="85"/>
      <c r="J118" s="85"/>
      <c r="K118" s="85"/>
      <c r="L118" s="85"/>
      <c r="M118" s="88"/>
      <c r="N118" s="128" t="s">
        <v>92</v>
      </c>
      <c r="O118" s="128"/>
      <c r="P118" s="128"/>
      <c r="Q118" s="128"/>
      <c r="R118" s="88"/>
      <c r="S118" s="128" t="s">
        <v>545</v>
      </c>
      <c r="T118" s="88"/>
    </row>
    <row r="119" spans="2:20" x14ac:dyDescent="0.25">
      <c r="B119" s="85"/>
      <c r="C119" s="85"/>
      <c r="D119" s="85"/>
      <c r="E119" s="85"/>
      <c r="F119" s="85"/>
      <c r="G119" s="85"/>
      <c r="H119" s="85"/>
      <c r="I119" s="85"/>
      <c r="J119" s="85"/>
      <c r="K119" s="85"/>
      <c r="L119" s="85"/>
      <c r="M119" s="88"/>
      <c r="N119" s="128" t="s">
        <v>544</v>
      </c>
      <c r="O119" s="128"/>
      <c r="P119" s="128"/>
      <c r="Q119" s="128"/>
      <c r="R119" s="88"/>
      <c r="S119" s="128" t="s">
        <v>546</v>
      </c>
      <c r="T119" s="88"/>
    </row>
    <row r="120" spans="2:20" x14ac:dyDescent="0.25">
      <c r="B120" s="85"/>
      <c r="C120" s="85"/>
      <c r="D120" s="85"/>
      <c r="E120" s="85"/>
      <c r="F120" s="85"/>
      <c r="G120" s="85"/>
      <c r="H120" s="85"/>
      <c r="I120" s="85"/>
      <c r="J120" s="85"/>
      <c r="K120" s="85"/>
      <c r="L120" s="85"/>
      <c r="M120" s="88"/>
      <c r="N120" s="128" t="s">
        <v>117</v>
      </c>
      <c r="O120" s="128"/>
      <c r="P120" s="128"/>
      <c r="Q120" s="128"/>
      <c r="R120" s="88"/>
      <c r="S120" s="128" t="s">
        <v>547</v>
      </c>
      <c r="T120" s="88"/>
    </row>
    <row r="121" spans="2:20" x14ac:dyDescent="0.25">
      <c r="B121" s="85"/>
      <c r="C121" s="85"/>
      <c r="D121" s="85"/>
      <c r="E121" s="85"/>
      <c r="F121" s="85"/>
      <c r="G121" s="85"/>
      <c r="H121" s="85"/>
      <c r="I121" s="85"/>
      <c r="J121" s="85"/>
      <c r="K121" s="85"/>
      <c r="L121" s="85"/>
      <c r="M121" s="88"/>
      <c r="N121" s="128" t="s">
        <v>29</v>
      </c>
      <c r="O121" s="128"/>
      <c r="P121" s="128"/>
      <c r="Q121" s="128"/>
      <c r="R121" s="88"/>
      <c r="S121" s="128" t="s">
        <v>548</v>
      </c>
      <c r="T121" s="88"/>
    </row>
    <row r="122" spans="2:20" x14ac:dyDescent="0.25">
      <c r="B122" s="85"/>
      <c r="C122" s="85"/>
      <c r="D122" s="85"/>
      <c r="E122" s="85"/>
      <c r="F122" s="85"/>
      <c r="G122" s="85"/>
      <c r="H122" s="85"/>
      <c r="I122" s="85"/>
      <c r="J122" s="85"/>
      <c r="K122" s="85"/>
      <c r="L122" s="85"/>
      <c r="M122" s="88"/>
      <c r="N122" s="128" t="s">
        <v>97</v>
      </c>
      <c r="O122" s="128"/>
      <c r="P122" s="128"/>
      <c r="Q122" s="128"/>
      <c r="R122" s="88"/>
      <c r="S122" s="128" t="s">
        <v>549</v>
      </c>
      <c r="T122" s="88"/>
    </row>
    <row r="123" spans="2:20" x14ac:dyDescent="0.25">
      <c r="B123" s="85"/>
      <c r="C123" s="85"/>
      <c r="D123" s="85"/>
      <c r="E123" s="85"/>
      <c r="F123" s="85"/>
      <c r="G123" s="85"/>
      <c r="H123" s="85"/>
      <c r="I123" s="85"/>
      <c r="J123" s="85"/>
      <c r="K123" s="85"/>
      <c r="L123" s="85"/>
      <c r="M123" s="88"/>
      <c r="N123" s="88"/>
      <c r="O123" s="88"/>
      <c r="P123" s="88"/>
      <c r="Q123" s="88"/>
      <c r="R123" s="88"/>
      <c r="S123" s="88"/>
      <c r="T123" s="88"/>
    </row>
    <row r="124" spans="2:20" ht="15.75" thickBot="1" x14ac:dyDescent="0.3">
      <c r="B124" s="113"/>
      <c r="C124" s="113"/>
      <c r="D124" s="113"/>
      <c r="E124" s="85"/>
      <c r="F124" s="85"/>
      <c r="G124" s="85"/>
      <c r="H124" s="85"/>
      <c r="I124" s="85"/>
      <c r="J124" s="85"/>
      <c r="K124" s="85"/>
      <c r="L124" s="85"/>
      <c r="M124" s="85"/>
      <c r="N124" s="85"/>
      <c r="O124" s="85"/>
      <c r="P124" s="85"/>
      <c r="Q124" s="85"/>
      <c r="R124" s="85"/>
      <c r="S124" s="85"/>
      <c r="T124" s="113"/>
    </row>
    <row r="125" spans="2:20" ht="15.75" thickTop="1" x14ac:dyDescent="0.25">
      <c r="B125" s="85"/>
      <c r="C125" s="85"/>
      <c r="D125" s="85"/>
      <c r="E125" s="125"/>
      <c r="F125" s="125"/>
      <c r="G125" s="125"/>
      <c r="H125" s="125"/>
      <c r="I125" s="125"/>
      <c r="J125" s="125"/>
      <c r="K125" s="125"/>
      <c r="L125" s="125"/>
      <c r="M125" s="125"/>
      <c r="N125" s="125"/>
      <c r="O125" s="125"/>
      <c r="P125" s="125"/>
      <c r="Q125" s="125"/>
      <c r="R125" s="125"/>
      <c r="S125" s="125"/>
      <c r="T125" s="85"/>
    </row>
    <row r="126" spans="2:20" ht="18.75" x14ac:dyDescent="0.3">
      <c r="B126" s="97" t="s">
        <v>550</v>
      </c>
      <c r="C126" s="85"/>
      <c r="D126" s="85"/>
      <c r="E126" s="85"/>
      <c r="F126" s="85"/>
      <c r="G126" s="85"/>
      <c r="H126" s="85"/>
      <c r="I126" s="85"/>
      <c r="J126" s="85"/>
      <c r="K126" s="85"/>
      <c r="L126" s="85"/>
      <c r="M126" s="85"/>
      <c r="N126" s="85"/>
      <c r="O126" s="85"/>
      <c r="P126" s="85"/>
      <c r="Q126" s="85"/>
      <c r="R126" s="85"/>
      <c r="S126" s="85"/>
      <c r="T126" s="85"/>
    </row>
    <row r="127" spans="2:20" ht="33" x14ac:dyDescent="0.45">
      <c r="B127" s="129" t="s">
        <v>551</v>
      </c>
      <c r="C127" s="85"/>
      <c r="D127" s="85"/>
      <c r="E127" s="85"/>
      <c r="F127" s="85"/>
      <c r="G127" s="85"/>
      <c r="H127" s="85"/>
      <c r="I127" s="85"/>
      <c r="J127" s="85"/>
      <c r="K127" s="85"/>
      <c r="L127" s="85"/>
      <c r="M127" s="85"/>
      <c r="N127" s="85"/>
      <c r="O127" s="85"/>
      <c r="P127" s="85"/>
      <c r="Q127" s="85"/>
      <c r="R127" s="85"/>
      <c r="S127" s="85"/>
      <c r="T127" s="85"/>
    </row>
    <row r="128" spans="2:20" x14ac:dyDescent="0.25">
      <c r="B128" s="85"/>
      <c r="C128" s="85"/>
      <c r="D128" s="85"/>
      <c r="E128" s="85"/>
      <c r="F128" s="85"/>
      <c r="G128" s="85"/>
      <c r="H128" s="85"/>
      <c r="I128" s="85"/>
      <c r="J128" s="85"/>
      <c r="K128" s="85"/>
      <c r="L128" s="85"/>
      <c r="M128" s="85"/>
      <c r="N128" s="85"/>
      <c r="O128" s="85"/>
      <c r="P128" s="85"/>
      <c r="Q128" s="85"/>
      <c r="R128" s="85"/>
      <c r="S128" s="85"/>
      <c r="T128" s="85"/>
    </row>
    <row r="129" spans="2:20" x14ac:dyDescent="0.25">
      <c r="B129" s="85"/>
      <c r="C129" s="85"/>
      <c r="D129" s="85"/>
      <c r="E129" s="85"/>
      <c r="F129" s="85"/>
      <c r="G129" s="85"/>
      <c r="H129" s="85"/>
      <c r="I129" s="85"/>
      <c r="J129" s="85"/>
      <c r="K129" s="85"/>
      <c r="L129" s="85"/>
      <c r="M129" s="85"/>
      <c r="N129" s="85"/>
      <c r="O129" s="85"/>
      <c r="P129" s="85"/>
      <c r="Q129" s="85"/>
      <c r="R129" s="85"/>
      <c r="S129" s="85"/>
      <c r="T129" s="85"/>
    </row>
    <row r="130" spans="2:20" x14ac:dyDescent="0.25">
      <c r="B130" s="85"/>
      <c r="C130" s="85"/>
      <c r="D130" s="85"/>
      <c r="E130" s="85"/>
      <c r="F130" s="85"/>
      <c r="G130" s="85"/>
      <c r="H130" s="85"/>
      <c r="I130" s="85"/>
      <c r="J130" s="85"/>
      <c r="K130" s="85"/>
      <c r="L130" s="85"/>
      <c r="M130" s="85"/>
      <c r="N130" s="85"/>
      <c r="O130" s="85"/>
      <c r="P130" s="85"/>
      <c r="Q130" s="85"/>
      <c r="R130" s="85"/>
      <c r="S130" s="85"/>
      <c r="T130" s="85"/>
    </row>
    <row r="131" spans="2:20" x14ac:dyDescent="0.25">
      <c r="B131" s="85"/>
      <c r="C131" s="85"/>
      <c r="D131" s="85"/>
      <c r="E131" s="85"/>
      <c r="F131" s="85"/>
      <c r="G131" s="85"/>
      <c r="H131" s="85"/>
      <c r="I131" s="85"/>
      <c r="J131" s="85"/>
      <c r="K131" s="85"/>
      <c r="L131" s="85"/>
      <c r="M131" s="85"/>
      <c r="N131" s="85"/>
      <c r="O131" s="85"/>
      <c r="P131" s="85"/>
      <c r="Q131" s="85"/>
      <c r="R131" s="85"/>
      <c r="S131" s="85"/>
      <c r="T131" s="85"/>
    </row>
    <row r="132" spans="2:20" x14ac:dyDescent="0.25">
      <c r="B132" s="85"/>
      <c r="C132" s="85"/>
      <c r="D132" s="85"/>
      <c r="E132" s="85"/>
      <c r="F132" s="85"/>
      <c r="G132" s="85"/>
      <c r="H132" s="85"/>
      <c r="I132" s="85"/>
      <c r="J132" s="85"/>
      <c r="K132" s="85"/>
      <c r="L132" s="85"/>
      <c r="M132" s="85"/>
      <c r="N132" s="85"/>
      <c r="O132" s="85"/>
      <c r="P132" s="85"/>
      <c r="Q132" s="85"/>
      <c r="R132" s="85"/>
      <c r="S132" s="85"/>
      <c r="T132" s="85"/>
    </row>
    <row r="133" spans="2:20" x14ac:dyDescent="0.25">
      <c r="B133" s="85"/>
      <c r="C133" s="85"/>
      <c r="D133" s="85"/>
      <c r="E133" s="85"/>
      <c r="F133" s="85"/>
      <c r="G133" s="85"/>
      <c r="H133" s="85"/>
      <c r="I133" s="85"/>
      <c r="J133" s="85"/>
      <c r="K133" s="85"/>
      <c r="L133" s="85"/>
      <c r="M133" s="85"/>
      <c r="N133" s="85"/>
      <c r="O133" s="85"/>
      <c r="P133" s="85"/>
      <c r="Q133" s="85"/>
      <c r="R133" s="85"/>
      <c r="S133" s="85"/>
      <c r="T133" s="85"/>
    </row>
    <row r="134" spans="2:20" x14ac:dyDescent="0.25">
      <c r="B134" s="85"/>
      <c r="C134" s="85"/>
      <c r="D134" s="85"/>
      <c r="E134" s="85"/>
      <c r="F134" s="85"/>
      <c r="G134" s="85"/>
      <c r="H134" s="85"/>
      <c r="I134" s="85"/>
      <c r="J134" s="85"/>
      <c r="K134" s="85"/>
      <c r="L134" s="85"/>
      <c r="M134" s="85"/>
      <c r="N134" s="85"/>
      <c r="O134" s="85"/>
      <c r="P134" s="85"/>
      <c r="Q134" s="85"/>
      <c r="R134" s="85"/>
      <c r="S134" s="85"/>
      <c r="T134" s="85"/>
    </row>
    <row r="135" spans="2:20" x14ac:dyDescent="0.25">
      <c r="B135" s="85"/>
      <c r="C135" s="85"/>
      <c r="D135" s="85"/>
      <c r="E135" s="85"/>
      <c r="F135" s="85"/>
      <c r="G135" s="85"/>
      <c r="H135" s="85"/>
      <c r="I135" s="85"/>
      <c r="J135" s="85"/>
      <c r="K135" s="85"/>
      <c r="L135" s="93"/>
      <c r="M135" s="93"/>
      <c r="N135" s="93"/>
      <c r="O135" s="93"/>
      <c r="P135" s="93"/>
      <c r="Q135" s="93"/>
      <c r="R135" s="93"/>
      <c r="S135" s="93"/>
      <c r="T135" s="93"/>
    </row>
    <row r="136" spans="2:20" ht="18.75" x14ac:dyDescent="0.3">
      <c r="B136" s="85"/>
      <c r="C136" s="85"/>
      <c r="D136" s="85"/>
      <c r="E136" s="85"/>
      <c r="F136" s="85"/>
      <c r="G136" s="85"/>
      <c r="H136" s="85"/>
      <c r="I136" s="85"/>
      <c r="J136" s="85"/>
      <c r="K136" s="85"/>
      <c r="L136" s="93"/>
      <c r="M136" s="145" t="s">
        <v>552</v>
      </c>
      <c r="N136" s="93"/>
      <c r="O136" s="93"/>
      <c r="P136" s="93"/>
      <c r="Q136" s="93"/>
      <c r="R136" s="93"/>
      <c r="S136" s="93"/>
      <c r="T136" s="93"/>
    </row>
    <row r="137" spans="2:20" x14ac:dyDescent="0.25">
      <c r="B137" s="85"/>
      <c r="C137" s="85"/>
      <c r="D137" s="85"/>
      <c r="E137" s="85"/>
      <c r="F137" s="85"/>
      <c r="G137" s="85"/>
      <c r="H137" s="85"/>
      <c r="I137" s="85"/>
      <c r="J137" s="85"/>
      <c r="K137" s="85"/>
      <c r="L137" s="93"/>
      <c r="M137" s="93"/>
      <c r="N137" s="93"/>
      <c r="O137" s="93"/>
      <c r="P137" s="93"/>
      <c r="Q137" s="93"/>
      <c r="R137" s="93"/>
      <c r="S137" s="93"/>
      <c r="T137" s="93"/>
    </row>
    <row r="138" spans="2:20" x14ac:dyDescent="0.25">
      <c r="B138" s="85"/>
      <c r="C138" s="85"/>
      <c r="D138" s="85"/>
      <c r="E138" s="85"/>
      <c r="F138" s="85"/>
      <c r="G138" s="85"/>
      <c r="H138" s="85"/>
      <c r="I138" s="85"/>
      <c r="J138" s="85"/>
      <c r="K138" s="85"/>
      <c r="L138" s="93"/>
      <c r="M138" s="116" t="s">
        <v>560</v>
      </c>
      <c r="N138" s="93"/>
      <c r="O138" s="93"/>
      <c r="P138" s="93"/>
      <c r="Q138" s="93"/>
      <c r="R138" s="93"/>
      <c r="S138" s="93"/>
      <c r="T138" s="93"/>
    </row>
    <row r="139" spans="2:20" x14ac:dyDescent="0.25">
      <c r="B139" s="85"/>
      <c r="C139" s="85"/>
      <c r="D139" s="85"/>
      <c r="E139" s="85"/>
      <c r="F139" s="85"/>
      <c r="G139" s="85"/>
      <c r="H139" s="85"/>
      <c r="I139" s="85"/>
      <c r="J139" s="85"/>
      <c r="K139" s="85"/>
      <c r="L139" s="93"/>
      <c r="M139" s="102" t="s">
        <v>553</v>
      </c>
      <c r="N139" s="93"/>
      <c r="O139" s="93"/>
      <c r="P139" s="93"/>
      <c r="Q139" s="93"/>
      <c r="R139" s="93"/>
      <c r="S139" s="93"/>
      <c r="T139" s="93"/>
    </row>
    <row r="140" spans="2:20" x14ac:dyDescent="0.25">
      <c r="B140" s="85"/>
      <c r="C140" s="85"/>
      <c r="D140" s="85"/>
      <c r="E140" s="85"/>
      <c r="F140" s="85"/>
      <c r="G140" s="85"/>
      <c r="H140" s="85"/>
      <c r="I140" s="85"/>
      <c r="J140" s="85"/>
      <c r="K140" s="85"/>
      <c r="L140" s="93"/>
      <c r="M140" s="102" t="s">
        <v>554</v>
      </c>
      <c r="N140" s="93"/>
      <c r="O140" s="93"/>
      <c r="P140" s="93"/>
      <c r="Q140" s="93"/>
      <c r="R140" s="93"/>
      <c r="S140" s="93"/>
      <c r="T140" s="93"/>
    </row>
    <row r="141" spans="2:20" x14ac:dyDescent="0.25">
      <c r="B141" s="85"/>
      <c r="C141" s="85"/>
      <c r="D141" s="85"/>
      <c r="E141" s="85"/>
      <c r="F141" s="85"/>
      <c r="G141" s="85"/>
      <c r="H141" s="85"/>
      <c r="I141" s="85"/>
      <c r="J141" s="85"/>
      <c r="K141" s="85"/>
      <c r="L141" s="93"/>
      <c r="M141" s="93"/>
      <c r="N141" s="93"/>
      <c r="O141" s="93"/>
      <c r="P141" s="93"/>
      <c r="Q141" s="93"/>
      <c r="R141" s="93"/>
      <c r="S141" s="93"/>
      <c r="T141" s="93"/>
    </row>
    <row r="142" spans="2:20" x14ac:dyDescent="0.25">
      <c r="B142" s="85"/>
      <c r="C142" s="85"/>
      <c r="D142" s="85"/>
      <c r="E142" s="85"/>
      <c r="F142" s="85"/>
      <c r="G142" s="85"/>
      <c r="H142" s="85"/>
      <c r="I142" s="85"/>
      <c r="J142" s="85"/>
      <c r="K142" s="85"/>
      <c r="L142" s="93"/>
      <c r="M142" s="116" t="s">
        <v>561</v>
      </c>
      <c r="N142" s="93"/>
      <c r="O142" s="93"/>
      <c r="P142" s="93"/>
      <c r="Q142" s="93"/>
      <c r="R142" s="93"/>
      <c r="S142" s="93"/>
      <c r="T142" s="93"/>
    </row>
    <row r="143" spans="2:20" x14ac:dyDescent="0.25">
      <c r="B143" s="85"/>
      <c r="C143" s="85"/>
      <c r="D143" s="85"/>
      <c r="E143" s="85"/>
      <c r="F143" s="85"/>
      <c r="G143" s="85"/>
      <c r="H143" s="85"/>
      <c r="I143" s="85"/>
      <c r="J143" s="85"/>
      <c r="K143" s="85"/>
      <c r="L143" s="93"/>
      <c r="M143" s="102" t="s">
        <v>555</v>
      </c>
      <c r="N143" s="93"/>
      <c r="O143" s="93"/>
      <c r="P143" s="93"/>
      <c r="Q143" s="93"/>
      <c r="R143" s="93"/>
      <c r="S143" s="93"/>
      <c r="T143" s="93"/>
    </row>
    <row r="144" spans="2:20" x14ac:dyDescent="0.25">
      <c r="B144" s="85"/>
      <c r="C144" s="85"/>
      <c r="D144" s="85"/>
      <c r="E144" s="85"/>
      <c r="F144" s="85"/>
      <c r="G144" s="85"/>
      <c r="H144" s="85"/>
      <c r="I144" s="85"/>
      <c r="J144" s="85"/>
      <c r="K144" s="85"/>
      <c r="L144" s="93"/>
      <c r="M144" s="102" t="s">
        <v>556</v>
      </c>
      <c r="N144" s="93"/>
      <c r="O144" s="93"/>
      <c r="P144" s="93"/>
      <c r="Q144" s="93"/>
      <c r="R144" s="93"/>
      <c r="S144" s="93"/>
      <c r="T144" s="93"/>
    </row>
    <row r="145" spans="2:20" x14ac:dyDescent="0.25">
      <c r="B145" s="85"/>
      <c r="C145" s="85"/>
      <c r="D145" s="85"/>
      <c r="E145" s="85"/>
      <c r="F145" s="85"/>
      <c r="G145" s="85"/>
      <c r="H145" s="85"/>
      <c r="I145" s="85"/>
      <c r="J145" s="85"/>
      <c r="K145" s="85"/>
      <c r="L145" s="93"/>
      <c r="M145" s="93"/>
      <c r="N145" s="93"/>
      <c r="O145" s="93"/>
      <c r="P145" s="93"/>
      <c r="Q145" s="93"/>
      <c r="R145" s="93"/>
      <c r="S145" s="93"/>
      <c r="T145" s="93"/>
    </row>
    <row r="146" spans="2:20" ht="15.75" thickBot="1" x14ac:dyDescent="0.3">
      <c r="B146" s="113"/>
      <c r="C146" s="113"/>
      <c r="D146" s="85"/>
      <c r="E146" s="113"/>
      <c r="F146" s="85"/>
      <c r="G146" s="85"/>
      <c r="H146" s="113"/>
      <c r="I146" s="113"/>
      <c r="J146" s="85"/>
      <c r="K146" s="113"/>
      <c r="L146" s="85"/>
      <c r="M146" s="85"/>
      <c r="N146" s="113"/>
      <c r="O146" s="85"/>
      <c r="P146" s="85"/>
      <c r="Q146" s="113"/>
      <c r="R146" s="85"/>
      <c r="S146" s="85"/>
      <c r="T146" s="85"/>
    </row>
    <row r="147" spans="2:20" ht="15.75" thickTop="1" x14ac:dyDescent="0.25">
      <c r="B147" s="85"/>
      <c r="C147" s="85"/>
      <c r="D147" s="125"/>
      <c r="E147" s="85"/>
      <c r="F147" s="125"/>
      <c r="G147" s="125"/>
      <c r="H147" s="85"/>
      <c r="I147" s="85"/>
      <c r="J147" s="125"/>
      <c r="K147" s="85"/>
      <c r="L147" s="125"/>
      <c r="M147" s="125"/>
      <c r="N147" s="85"/>
      <c r="O147" s="125"/>
      <c r="P147" s="125"/>
      <c r="Q147" s="85"/>
      <c r="R147" s="125"/>
      <c r="S147" s="125"/>
      <c r="T147" s="125"/>
    </row>
    <row r="148" spans="2:20" ht="18.75" x14ac:dyDescent="0.3">
      <c r="B148" s="97" t="s">
        <v>557</v>
      </c>
      <c r="C148" s="85"/>
      <c r="D148" s="85"/>
      <c r="E148" s="85"/>
      <c r="F148" s="85"/>
      <c r="G148" s="85"/>
      <c r="H148" s="85"/>
      <c r="I148" s="85"/>
      <c r="J148" s="85"/>
      <c r="K148" s="85"/>
      <c r="L148" s="85"/>
      <c r="M148" s="85"/>
      <c r="N148" s="85"/>
      <c r="O148" s="85"/>
      <c r="P148" s="85"/>
      <c r="Q148" s="85"/>
      <c r="R148" s="85"/>
      <c r="S148" s="85"/>
      <c r="T148" s="85"/>
    </row>
    <row r="149" spans="2:20" ht="33" x14ac:dyDescent="0.45">
      <c r="B149" s="129" t="s">
        <v>558</v>
      </c>
      <c r="C149" s="85"/>
      <c r="D149" s="85"/>
      <c r="E149" s="85"/>
      <c r="F149" s="85"/>
      <c r="G149" s="85"/>
      <c r="H149" s="85"/>
      <c r="I149" s="85"/>
      <c r="J149" s="85"/>
      <c r="K149" s="85"/>
      <c r="L149" s="85"/>
      <c r="M149" s="85"/>
      <c r="N149" s="85"/>
      <c r="O149" s="85"/>
      <c r="P149" s="85"/>
      <c r="Q149" s="85"/>
      <c r="R149" s="85"/>
      <c r="S149" s="85"/>
      <c r="T149" s="85"/>
    </row>
    <row r="150" spans="2:20" x14ac:dyDescent="0.25">
      <c r="B150" s="85"/>
      <c r="C150" s="85"/>
      <c r="D150" s="85"/>
      <c r="E150" s="85"/>
      <c r="F150" s="85"/>
      <c r="G150" s="85"/>
      <c r="H150" s="85"/>
      <c r="I150" s="85"/>
      <c r="J150" s="85"/>
      <c r="K150" s="85"/>
      <c r="L150" s="85"/>
      <c r="M150" s="85"/>
      <c r="N150" s="85"/>
      <c r="O150" s="85"/>
      <c r="P150" s="85"/>
      <c r="Q150" s="85"/>
      <c r="R150" s="85"/>
      <c r="S150" s="85"/>
      <c r="T150" s="85"/>
    </row>
    <row r="151" spans="2:20" x14ac:dyDescent="0.25">
      <c r="B151" s="85"/>
      <c r="C151" s="85"/>
      <c r="D151" s="85"/>
      <c r="E151" s="85"/>
      <c r="F151" s="85"/>
      <c r="G151" s="85"/>
      <c r="H151" s="85"/>
      <c r="I151" s="85"/>
      <c r="J151" s="85"/>
      <c r="K151" s="85"/>
      <c r="L151" s="85"/>
      <c r="M151" s="85"/>
      <c r="N151" s="85"/>
      <c r="O151" s="85"/>
      <c r="P151" s="85"/>
      <c r="Q151" s="85"/>
      <c r="R151" s="85"/>
      <c r="S151" s="85"/>
      <c r="T151" s="85"/>
    </row>
    <row r="152" spans="2:20" x14ac:dyDescent="0.25">
      <c r="B152" s="85"/>
      <c r="C152" s="85"/>
      <c r="D152" s="85"/>
      <c r="E152" s="85"/>
      <c r="F152" s="85"/>
      <c r="G152" s="85"/>
      <c r="H152" s="85"/>
      <c r="I152" s="85"/>
      <c r="J152" s="85"/>
      <c r="K152" s="85"/>
      <c r="L152" s="85"/>
      <c r="M152" s="85"/>
      <c r="N152" s="85"/>
      <c r="O152" s="85"/>
      <c r="P152" s="85"/>
      <c r="Q152" s="85"/>
      <c r="R152" s="85"/>
      <c r="S152" s="85"/>
      <c r="T152" s="85"/>
    </row>
    <row r="153" spans="2:20" x14ac:dyDescent="0.25">
      <c r="B153" s="85"/>
      <c r="C153" s="85"/>
      <c r="D153" s="85"/>
      <c r="E153" s="85"/>
      <c r="F153" s="85"/>
      <c r="G153" s="85"/>
      <c r="H153" s="85"/>
      <c r="I153" s="85"/>
      <c r="J153" s="85"/>
      <c r="K153" s="85"/>
      <c r="L153" s="85"/>
      <c r="M153" s="85"/>
      <c r="N153" s="85"/>
      <c r="O153" s="85"/>
      <c r="P153" s="85"/>
      <c r="Q153" s="85"/>
      <c r="R153" s="85"/>
      <c r="S153" s="85"/>
      <c r="T153" s="85"/>
    </row>
    <row r="154" spans="2:20" x14ac:dyDescent="0.25">
      <c r="B154" s="85"/>
      <c r="C154" s="85"/>
      <c r="D154" s="85"/>
      <c r="E154" s="85"/>
      <c r="F154" s="85"/>
      <c r="G154" s="85"/>
      <c r="H154" s="85"/>
      <c r="I154" s="85"/>
      <c r="J154" s="85"/>
      <c r="K154" s="85"/>
      <c r="L154" s="85"/>
      <c r="M154" s="85"/>
      <c r="N154" s="85"/>
      <c r="O154" s="85"/>
      <c r="P154" s="85"/>
      <c r="Q154" s="85"/>
      <c r="R154" s="85"/>
      <c r="S154" s="85"/>
      <c r="T154" s="85"/>
    </row>
    <row r="155" spans="2:20" x14ac:dyDescent="0.25">
      <c r="B155" s="85"/>
      <c r="C155" s="85"/>
      <c r="D155" s="85"/>
      <c r="E155" s="85"/>
      <c r="F155" s="85"/>
      <c r="G155" s="85"/>
      <c r="H155" s="85"/>
      <c r="I155" s="85"/>
      <c r="J155" s="85"/>
      <c r="K155" s="85"/>
      <c r="L155" s="85"/>
      <c r="M155" s="85"/>
      <c r="N155" s="85"/>
      <c r="O155" s="85"/>
      <c r="P155" s="85"/>
      <c r="Q155" s="85"/>
      <c r="R155" s="85"/>
      <c r="S155" s="85"/>
      <c r="T155" s="85"/>
    </row>
    <row r="156" spans="2:20" x14ac:dyDescent="0.25">
      <c r="B156" s="85"/>
      <c r="C156" s="85"/>
      <c r="D156" s="85"/>
      <c r="E156" s="85"/>
      <c r="F156" s="85"/>
      <c r="G156" s="85"/>
      <c r="H156" s="85"/>
      <c r="I156" s="85"/>
      <c r="J156" s="85"/>
      <c r="K156" s="85"/>
      <c r="L156" s="85"/>
      <c r="M156" s="85"/>
      <c r="N156" s="85"/>
      <c r="O156" s="85"/>
      <c r="P156" s="85"/>
      <c r="Q156" s="85"/>
      <c r="R156" s="85"/>
      <c r="S156" s="85"/>
      <c r="T156" s="85"/>
    </row>
    <row r="157" spans="2:20" x14ac:dyDescent="0.25">
      <c r="B157" s="85"/>
      <c r="C157" s="85"/>
      <c r="D157" s="85"/>
      <c r="E157" s="85"/>
      <c r="F157" s="85"/>
      <c r="G157" s="85"/>
      <c r="H157" s="85"/>
      <c r="I157" s="85"/>
      <c r="J157" s="85"/>
      <c r="K157" s="85"/>
      <c r="L157" s="85"/>
      <c r="M157" s="85"/>
      <c r="N157" s="85"/>
      <c r="O157" s="85"/>
      <c r="P157" s="85"/>
      <c r="Q157" s="85"/>
      <c r="R157" s="85"/>
      <c r="S157" s="85"/>
      <c r="T157" s="85"/>
    </row>
    <row r="158" spans="2:20" x14ac:dyDescent="0.25">
      <c r="B158" s="85"/>
      <c r="C158" s="85"/>
      <c r="D158" s="85"/>
      <c r="E158" s="85"/>
      <c r="F158" s="85"/>
      <c r="G158" s="85"/>
      <c r="H158" s="85"/>
      <c r="I158" s="85"/>
      <c r="J158" s="85"/>
      <c r="K158" s="85"/>
      <c r="L158" s="85"/>
      <c r="M158" s="85"/>
      <c r="N158" s="85"/>
      <c r="O158" s="85"/>
      <c r="P158" s="85"/>
      <c r="Q158" s="85"/>
      <c r="R158" s="85"/>
      <c r="S158" s="85"/>
      <c r="T158" s="85"/>
    </row>
    <row r="159" spans="2:20" x14ac:dyDescent="0.25">
      <c r="B159" s="85"/>
      <c r="C159" s="85"/>
      <c r="D159" s="85"/>
      <c r="E159" s="85"/>
      <c r="F159" s="85"/>
      <c r="G159" s="85"/>
      <c r="H159" s="85"/>
      <c r="I159" s="85"/>
      <c r="J159" s="85"/>
      <c r="K159" s="85"/>
      <c r="L159" s="85"/>
      <c r="M159" s="85"/>
      <c r="N159" s="85"/>
      <c r="O159" s="85"/>
      <c r="P159" s="85"/>
      <c r="Q159" s="85"/>
      <c r="R159" s="85"/>
      <c r="S159" s="85"/>
      <c r="T159" s="85"/>
    </row>
    <row r="160" spans="2:20" x14ac:dyDescent="0.25">
      <c r="B160" s="85"/>
      <c r="C160" s="85"/>
      <c r="D160" s="85"/>
      <c r="E160" s="85"/>
      <c r="F160" s="85"/>
      <c r="G160" s="85"/>
      <c r="H160" s="85"/>
      <c r="I160" s="85"/>
      <c r="J160" s="85"/>
      <c r="K160" s="85"/>
      <c r="L160" s="85"/>
      <c r="M160" s="85"/>
      <c r="N160" s="85"/>
      <c r="O160" s="85"/>
      <c r="P160" s="85"/>
      <c r="Q160" s="85"/>
      <c r="R160" s="85"/>
      <c r="S160" s="85"/>
      <c r="T160" s="85"/>
    </row>
    <row r="161" spans="2:20" x14ac:dyDescent="0.25">
      <c r="B161" s="85"/>
      <c r="C161" s="85"/>
      <c r="D161" s="85"/>
      <c r="E161" s="85"/>
      <c r="F161" s="85"/>
      <c r="G161" s="85"/>
      <c r="H161" s="85"/>
      <c r="I161" s="85"/>
      <c r="J161" s="85"/>
      <c r="K161" s="85"/>
      <c r="L161" s="85"/>
      <c r="M161" s="85"/>
      <c r="N161" s="85"/>
      <c r="O161" s="85"/>
      <c r="P161" s="85"/>
      <c r="Q161" s="85"/>
      <c r="R161" s="85"/>
      <c r="S161" s="85"/>
      <c r="T161" s="85"/>
    </row>
    <row r="162" spans="2:20" x14ac:dyDescent="0.25">
      <c r="B162" s="85"/>
      <c r="C162" s="85"/>
      <c r="D162" s="85"/>
      <c r="E162" s="85"/>
      <c r="F162" s="85"/>
      <c r="G162" s="85"/>
      <c r="H162" s="85"/>
      <c r="I162" s="85"/>
      <c r="J162" s="85"/>
      <c r="K162" s="85"/>
      <c r="L162" s="85"/>
      <c r="M162" s="85"/>
      <c r="N162" s="85"/>
      <c r="O162" s="85"/>
      <c r="P162" s="85"/>
      <c r="Q162" s="85"/>
      <c r="R162" s="85"/>
      <c r="S162" s="85"/>
      <c r="T162" s="85"/>
    </row>
    <row r="163" spans="2:20" x14ac:dyDescent="0.25">
      <c r="B163" s="85"/>
      <c r="C163" s="85"/>
      <c r="D163" s="85"/>
      <c r="E163" s="85"/>
      <c r="F163" s="85"/>
      <c r="G163" s="85"/>
      <c r="H163" s="85"/>
      <c r="I163" s="85"/>
      <c r="J163" s="85"/>
      <c r="K163" s="85"/>
      <c r="L163" s="85"/>
      <c r="M163" s="85"/>
      <c r="N163" s="85"/>
      <c r="O163" s="85"/>
      <c r="P163" s="85"/>
      <c r="Q163" s="85"/>
      <c r="R163" s="85"/>
      <c r="S163" s="85"/>
      <c r="T163" s="85"/>
    </row>
    <row r="164" spans="2:20" x14ac:dyDescent="0.25">
      <c r="B164" s="85"/>
      <c r="C164" s="85"/>
      <c r="D164" s="85"/>
      <c r="E164" s="85"/>
      <c r="F164" s="85"/>
      <c r="G164" s="85"/>
      <c r="H164" s="85"/>
      <c r="I164" s="85"/>
      <c r="J164" s="85"/>
      <c r="K164" s="85"/>
      <c r="L164" s="85"/>
      <c r="M164" s="85"/>
      <c r="N164" s="85"/>
      <c r="O164" s="85"/>
      <c r="P164" s="85"/>
      <c r="Q164" s="85"/>
      <c r="R164" s="85"/>
      <c r="S164" s="85"/>
      <c r="T164" s="85"/>
    </row>
    <row r="165" spans="2:20" x14ac:dyDescent="0.25">
      <c r="B165" s="93"/>
      <c r="C165" s="93"/>
      <c r="D165" s="93"/>
      <c r="E165" s="93"/>
      <c r="F165" s="93"/>
      <c r="G165" s="93"/>
      <c r="H165" s="93"/>
      <c r="I165" s="93"/>
      <c r="J165" s="93"/>
      <c r="K165" s="93"/>
      <c r="L165" s="93"/>
      <c r="M165" s="93"/>
      <c r="N165" s="93"/>
      <c r="O165" s="93"/>
      <c r="P165" s="93"/>
      <c r="Q165" s="93"/>
      <c r="R165" s="93"/>
      <c r="S165" s="93"/>
      <c r="T165" s="93"/>
    </row>
    <row r="166" spans="2:20" ht="18.75" x14ac:dyDescent="0.3">
      <c r="B166" s="93"/>
      <c r="C166" s="145" t="s">
        <v>559</v>
      </c>
      <c r="D166" s="93"/>
      <c r="E166" s="93"/>
      <c r="F166" s="93"/>
      <c r="G166" s="93"/>
      <c r="H166" s="93"/>
      <c r="I166" s="93"/>
      <c r="J166" s="93"/>
      <c r="K166" s="93"/>
      <c r="L166" s="93"/>
      <c r="M166" s="93"/>
      <c r="N166" s="93"/>
      <c r="O166" s="93"/>
      <c r="P166" s="93"/>
      <c r="Q166" s="93"/>
      <c r="R166" s="93"/>
      <c r="S166" s="93"/>
      <c r="T166" s="93"/>
    </row>
    <row r="167" spans="2:20" ht="15.75" x14ac:dyDescent="0.25">
      <c r="B167" s="93"/>
      <c r="C167" s="146" t="s">
        <v>563</v>
      </c>
      <c r="D167" s="93"/>
      <c r="E167" s="93"/>
      <c r="F167" s="93"/>
      <c r="G167" s="93"/>
      <c r="H167" s="93"/>
      <c r="I167" s="93"/>
      <c r="J167" s="93"/>
      <c r="K167" s="93"/>
      <c r="L167" s="93"/>
      <c r="M167" s="93"/>
      <c r="N167" s="93"/>
      <c r="O167" s="93"/>
      <c r="P167" s="93"/>
      <c r="Q167" s="93"/>
      <c r="R167" s="93"/>
      <c r="S167" s="93"/>
      <c r="T167" s="93"/>
    </row>
    <row r="168" spans="2:20" x14ac:dyDescent="0.25">
      <c r="B168" s="93"/>
      <c r="C168" s="147" t="s">
        <v>564</v>
      </c>
      <c r="D168" s="93"/>
      <c r="E168" s="93"/>
      <c r="F168" s="93"/>
      <c r="G168" s="93"/>
      <c r="H168" s="93"/>
      <c r="I168" s="93"/>
      <c r="J168" s="93"/>
      <c r="K168" s="93"/>
      <c r="L168" s="93"/>
      <c r="M168" s="93"/>
      <c r="N168" s="93"/>
      <c r="O168" s="93"/>
      <c r="P168" s="93"/>
      <c r="Q168" s="93"/>
      <c r="R168" s="93"/>
      <c r="S168" s="93"/>
      <c r="T168" s="93"/>
    </row>
    <row r="169" spans="2:20" x14ac:dyDescent="0.25">
      <c r="B169" s="93"/>
      <c r="C169" s="147" t="s">
        <v>565</v>
      </c>
      <c r="D169" s="93"/>
      <c r="E169" s="93"/>
      <c r="F169" s="93"/>
      <c r="G169" s="93"/>
      <c r="H169" s="93"/>
      <c r="I169" s="93"/>
      <c r="J169" s="93"/>
      <c r="K169" s="93"/>
      <c r="L169" s="93"/>
      <c r="M169" s="93"/>
      <c r="N169" s="93"/>
      <c r="O169" s="93"/>
      <c r="P169" s="93"/>
      <c r="Q169" s="93"/>
      <c r="R169" s="93"/>
      <c r="S169" s="93"/>
      <c r="T169" s="93"/>
    </row>
    <row r="170" spans="2:20" x14ac:dyDescent="0.25">
      <c r="B170" s="93"/>
      <c r="C170" s="93"/>
      <c r="D170" s="93"/>
      <c r="E170" s="93"/>
      <c r="F170" s="93"/>
      <c r="G170" s="93"/>
      <c r="H170" s="93"/>
      <c r="I170" s="93"/>
      <c r="J170" s="93"/>
      <c r="K170" s="93"/>
      <c r="L170" s="93"/>
      <c r="M170" s="93"/>
      <c r="N170" s="93"/>
      <c r="O170" s="93"/>
      <c r="P170" s="93"/>
      <c r="Q170" s="93"/>
      <c r="R170" s="93"/>
      <c r="S170" s="93"/>
      <c r="T170" s="93"/>
    </row>
    <row r="171" spans="2:20" ht="15.75" x14ac:dyDescent="0.25">
      <c r="B171" s="93"/>
      <c r="C171" s="116" t="s">
        <v>562</v>
      </c>
      <c r="D171" s="93"/>
      <c r="E171" s="93"/>
      <c r="F171" s="93"/>
      <c r="G171" s="93"/>
      <c r="H171" s="93"/>
      <c r="I171" s="93"/>
      <c r="J171" s="93"/>
      <c r="K171" s="93"/>
      <c r="L171" s="93"/>
      <c r="M171" s="93"/>
      <c r="N171" s="93"/>
      <c r="O171" s="93"/>
      <c r="P171" s="93"/>
      <c r="Q171" s="93"/>
      <c r="R171" s="93"/>
      <c r="S171" s="93"/>
      <c r="T171" s="93"/>
    </row>
    <row r="172" spans="2:20" x14ac:dyDescent="0.25">
      <c r="B172" s="93"/>
      <c r="C172" s="93"/>
      <c r="D172" s="93"/>
      <c r="E172" s="93"/>
      <c r="F172" s="93"/>
      <c r="G172" s="93"/>
      <c r="H172" s="93"/>
      <c r="I172" s="93"/>
      <c r="J172" s="93"/>
      <c r="K172" s="93"/>
      <c r="L172" s="93"/>
      <c r="M172" s="93"/>
      <c r="N172" s="93"/>
      <c r="O172" s="93"/>
      <c r="P172" s="93"/>
      <c r="Q172" s="93"/>
      <c r="R172" s="93"/>
      <c r="S172" s="93"/>
      <c r="T172" s="93"/>
    </row>
    <row r="173" spans="2:20" x14ac:dyDescent="0.25">
      <c r="B173" s="93"/>
      <c r="C173" s="93"/>
      <c r="D173" s="93"/>
      <c r="E173" s="93"/>
      <c r="F173" s="93"/>
      <c r="G173" s="93"/>
      <c r="H173" s="93"/>
      <c r="I173" s="93"/>
      <c r="J173" s="93"/>
      <c r="K173" s="93"/>
      <c r="L173" s="93"/>
      <c r="M173" s="93"/>
      <c r="N173" s="93"/>
      <c r="O173" s="93"/>
      <c r="P173" s="93"/>
      <c r="Q173" s="93"/>
      <c r="R173" s="93"/>
      <c r="S173" s="93"/>
      <c r="T173" s="93"/>
    </row>
    <row r="174" spans="2:20" ht="15.75" thickBot="1" x14ac:dyDescent="0.3">
      <c r="B174" s="113"/>
      <c r="C174" s="85"/>
      <c r="D174" s="85"/>
      <c r="E174" s="85"/>
      <c r="F174" s="85"/>
      <c r="G174" s="113"/>
      <c r="H174" s="113"/>
      <c r="I174" s="113"/>
      <c r="J174" s="113"/>
      <c r="K174" s="113"/>
      <c r="L174" s="113"/>
      <c r="M174" s="85"/>
      <c r="N174" s="85"/>
      <c r="O174" s="85"/>
      <c r="P174" s="85"/>
      <c r="Q174" s="85"/>
      <c r="R174" s="113"/>
      <c r="S174" s="113"/>
      <c r="T174" s="85"/>
    </row>
    <row r="175" spans="2:20" ht="15.75" thickTop="1" x14ac:dyDescent="0.25">
      <c r="B175" s="85"/>
      <c r="C175" s="125"/>
      <c r="D175" s="125"/>
      <c r="E175" s="125"/>
      <c r="F175" s="125"/>
      <c r="G175" s="85"/>
      <c r="H175" s="85"/>
      <c r="I175" s="85"/>
      <c r="J175" s="85"/>
      <c r="K175" s="85"/>
      <c r="L175" s="85"/>
      <c r="M175" s="125"/>
      <c r="N175" s="125"/>
      <c r="O175" s="125"/>
      <c r="P175" s="125"/>
      <c r="Q175" s="125"/>
      <c r="R175" s="85"/>
      <c r="S175" s="85"/>
      <c r="T175" s="125"/>
    </row>
    <row r="176" spans="2:20" ht="18.75" x14ac:dyDescent="0.3">
      <c r="B176" s="97" t="s">
        <v>566</v>
      </c>
      <c r="C176" s="85"/>
      <c r="D176" s="85"/>
      <c r="E176" s="85"/>
      <c r="F176" s="85"/>
      <c r="G176" s="85"/>
      <c r="H176" s="85"/>
      <c r="I176" s="85"/>
      <c r="J176" s="85"/>
      <c r="K176" s="85"/>
      <c r="L176" s="85"/>
      <c r="M176" s="85"/>
      <c r="N176" s="85"/>
      <c r="O176" s="85"/>
      <c r="P176" s="85"/>
      <c r="Q176" s="85"/>
      <c r="R176" s="85"/>
      <c r="S176" s="85"/>
      <c r="T176" s="85"/>
    </row>
    <row r="177" spans="2:20" ht="33" x14ac:dyDescent="0.45">
      <c r="B177" s="129" t="s">
        <v>567</v>
      </c>
      <c r="C177" s="85"/>
      <c r="D177" s="85"/>
      <c r="E177" s="85"/>
      <c r="F177" s="85"/>
      <c r="G177" s="85"/>
      <c r="H177" s="85"/>
      <c r="I177" s="85"/>
      <c r="J177" s="85"/>
      <c r="K177" s="85"/>
      <c r="L177" s="85"/>
      <c r="M177" s="85"/>
      <c r="N177" s="85"/>
      <c r="O177" s="85"/>
      <c r="P177" s="85"/>
      <c r="Q177" s="85"/>
      <c r="R177" s="85"/>
      <c r="S177" s="85"/>
      <c r="T177" s="85"/>
    </row>
    <row r="178" spans="2:20" x14ac:dyDescent="0.25">
      <c r="B178" s="85"/>
      <c r="C178" s="85"/>
      <c r="D178" s="85"/>
      <c r="E178" s="85"/>
      <c r="F178" s="85"/>
      <c r="G178" s="85"/>
      <c r="H178" s="85"/>
      <c r="I178" s="85"/>
      <c r="J178" s="85"/>
      <c r="K178" s="85"/>
      <c r="L178" s="93"/>
      <c r="M178" s="93"/>
      <c r="N178" s="93"/>
      <c r="O178" s="93"/>
      <c r="P178" s="93"/>
      <c r="Q178" s="93"/>
      <c r="R178" s="93"/>
      <c r="S178" s="93"/>
      <c r="T178" s="93"/>
    </row>
    <row r="179" spans="2:20" ht="18.75" x14ac:dyDescent="0.3">
      <c r="B179" s="85"/>
      <c r="C179" s="85"/>
      <c r="D179" s="85"/>
      <c r="E179" s="85"/>
      <c r="F179" s="85"/>
      <c r="G179" s="85"/>
      <c r="H179" s="85"/>
      <c r="I179" s="85"/>
      <c r="J179" s="85"/>
      <c r="K179" s="85"/>
      <c r="L179" s="93"/>
      <c r="M179" s="145" t="s">
        <v>568</v>
      </c>
      <c r="N179" s="93"/>
      <c r="O179" s="93"/>
      <c r="P179" s="93"/>
      <c r="Q179" s="93"/>
      <c r="R179" s="93"/>
      <c r="S179" s="93"/>
      <c r="T179" s="93"/>
    </row>
    <row r="180" spans="2:20" ht="27" x14ac:dyDescent="0.25">
      <c r="B180" s="85"/>
      <c r="C180" s="85"/>
      <c r="D180" s="85"/>
      <c r="E180" s="85"/>
      <c r="F180" s="85"/>
      <c r="G180" s="85"/>
      <c r="H180" s="85"/>
      <c r="I180" s="85"/>
      <c r="J180" s="85"/>
      <c r="K180" s="85"/>
      <c r="L180" s="93"/>
      <c r="M180" s="148" t="s">
        <v>569</v>
      </c>
      <c r="N180" s="93"/>
      <c r="O180" s="93"/>
      <c r="P180" s="93"/>
      <c r="Q180" s="93"/>
      <c r="R180" s="93"/>
      <c r="S180" s="93"/>
      <c r="T180" s="93"/>
    </row>
    <row r="181" spans="2:20" x14ac:dyDescent="0.25">
      <c r="B181" s="85"/>
      <c r="C181" s="85"/>
      <c r="D181" s="85"/>
      <c r="E181" s="85"/>
      <c r="F181" s="85"/>
      <c r="G181" s="85"/>
      <c r="H181" s="85"/>
      <c r="I181" s="85"/>
      <c r="J181" s="85"/>
      <c r="K181" s="85"/>
      <c r="L181" s="93"/>
      <c r="M181" s="124"/>
      <c r="N181" s="93"/>
      <c r="O181" s="93"/>
      <c r="P181" s="93"/>
      <c r="Q181" s="93"/>
      <c r="R181" s="93"/>
      <c r="S181" s="93"/>
      <c r="T181" s="93"/>
    </row>
    <row r="182" spans="2:20" x14ac:dyDescent="0.25">
      <c r="B182" s="85"/>
      <c r="C182" s="85"/>
      <c r="D182" s="85"/>
      <c r="E182" s="85"/>
      <c r="F182" s="85"/>
      <c r="G182" s="85"/>
      <c r="H182" s="85"/>
      <c r="I182" s="85"/>
      <c r="J182" s="85"/>
      <c r="K182" s="85"/>
      <c r="L182" s="93"/>
      <c r="M182" s="147" t="s">
        <v>570</v>
      </c>
      <c r="N182" s="93"/>
      <c r="O182" s="93"/>
      <c r="P182" s="93"/>
      <c r="Q182" s="93"/>
      <c r="R182" s="93"/>
      <c r="S182" s="93"/>
      <c r="T182" s="93"/>
    </row>
    <row r="183" spans="2:20" x14ac:dyDescent="0.25">
      <c r="B183" s="85"/>
      <c r="C183" s="85"/>
      <c r="D183" s="85"/>
      <c r="E183" s="85"/>
      <c r="F183" s="85"/>
      <c r="G183" s="85"/>
      <c r="H183" s="85"/>
      <c r="I183" s="85"/>
      <c r="J183" s="85"/>
      <c r="K183" s="85"/>
      <c r="L183" s="93"/>
      <c r="M183" s="147" t="s">
        <v>571</v>
      </c>
      <c r="N183" s="93"/>
      <c r="O183" s="93"/>
      <c r="P183" s="93"/>
      <c r="Q183" s="93"/>
      <c r="R183" s="93"/>
      <c r="S183" s="93"/>
      <c r="T183" s="93"/>
    </row>
    <row r="184" spans="2:20" x14ac:dyDescent="0.25">
      <c r="B184" s="85"/>
      <c r="C184" s="85"/>
      <c r="D184" s="85"/>
      <c r="E184" s="85"/>
      <c r="F184" s="85"/>
      <c r="G184" s="85"/>
      <c r="H184" s="85"/>
      <c r="I184" s="85"/>
      <c r="J184" s="85"/>
      <c r="K184" s="85"/>
      <c r="L184" s="93"/>
      <c r="M184" s="147" t="s">
        <v>572</v>
      </c>
      <c r="N184" s="93"/>
      <c r="O184" s="93"/>
      <c r="P184" s="93"/>
      <c r="Q184" s="93"/>
      <c r="R184" s="93"/>
      <c r="S184" s="93"/>
      <c r="T184" s="93"/>
    </row>
    <row r="185" spans="2:20" x14ac:dyDescent="0.25">
      <c r="B185" s="85"/>
      <c r="C185" s="85"/>
      <c r="D185" s="85"/>
      <c r="E185" s="85"/>
      <c r="F185" s="85"/>
      <c r="G185" s="85"/>
      <c r="H185" s="85"/>
      <c r="I185" s="85"/>
      <c r="J185" s="85"/>
      <c r="K185" s="85"/>
      <c r="L185" s="93"/>
      <c r="M185" s="93"/>
      <c r="N185" s="93"/>
      <c r="O185" s="93"/>
      <c r="P185" s="93"/>
      <c r="Q185" s="93"/>
      <c r="R185" s="93"/>
      <c r="S185" s="93"/>
      <c r="T185" s="93"/>
    </row>
    <row r="186" spans="2:20" x14ac:dyDescent="0.25">
      <c r="B186" s="85"/>
      <c r="C186" s="85"/>
      <c r="D186" s="85"/>
      <c r="E186" s="85"/>
      <c r="F186" s="85"/>
      <c r="G186" s="85"/>
      <c r="H186" s="85"/>
      <c r="I186" s="85"/>
      <c r="J186" s="85"/>
      <c r="K186" s="85"/>
      <c r="L186" s="85"/>
      <c r="M186" s="85"/>
      <c r="N186" s="85"/>
      <c r="O186" s="85"/>
      <c r="P186" s="85"/>
      <c r="Q186" s="85"/>
      <c r="R186" s="85"/>
      <c r="S186" s="85"/>
      <c r="T186" s="85"/>
    </row>
    <row r="187" spans="2:20" x14ac:dyDescent="0.25">
      <c r="B187" s="85"/>
      <c r="C187" s="85"/>
      <c r="D187" s="85"/>
      <c r="E187" s="85"/>
      <c r="F187" s="85"/>
      <c r="G187" s="85"/>
      <c r="H187" s="85"/>
      <c r="I187" s="85"/>
      <c r="J187" s="85"/>
      <c r="K187" s="85"/>
      <c r="L187" s="96"/>
      <c r="M187" s="96"/>
      <c r="N187" s="96"/>
      <c r="O187" s="96"/>
      <c r="P187" s="96"/>
      <c r="Q187" s="96"/>
      <c r="R187" s="96"/>
      <c r="S187" s="96"/>
      <c r="T187" s="96"/>
    </row>
    <row r="188" spans="2:20" ht="18.75" x14ac:dyDescent="0.3">
      <c r="B188" s="85"/>
      <c r="C188" s="85"/>
      <c r="D188" s="85"/>
      <c r="E188" s="85"/>
      <c r="F188" s="85"/>
      <c r="G188" s="85"/>
      <c r="H188" s="85"/>
      <c r="I188" s="85"/>
      <c r="J188" s="85"/>
      <c r="K188" s="85"/>
      <c r="L188" s="96"/>
      <c r="M188" s="149" t="s">
        <v>573</v>
      </c>
      <c r="N188" s="96"/>
      <c r="O188" s="96"/>
      <c r="P188" s="96"/>
      <c r="Q188" s="96"/>
      <c r="R188" s="96"/>
      <c r="S188" s="96"/>
      <c r="T188" s="96"/>
    </row>
    <row r="189" spans="2:20" ht="15.75" x14ac:dyDescent="0.25">
      <c r="B189" s="85"/>
      <c r="C189" s="85"/>
      <c r="D189" s="85"/>
      <c r="E189" s="85"/>
      <c r="F189" s="85"/>
      <c r="G189" s="85"/>
      <c r="H189" s="85"/>
      <c r="I189" s="85"/>
      <c r="J189" s="85"/>
      <c r="K189" s="85"/>
      <c r="L189" s="96"/>
      <c r="M189" s="150" t="s">
        <v>574</v>
      </c>
      <c r="N189" s="96"/>
      <c r="O189" s="96"/>
      <c r="P189" s="96"/>
      <c r="Q189" s="96"/>
      <c r="R189" s="96"/>
      <c r="S189" s="96"/>
      <c r="T189" s="96"/>
    </row>
    <row r="190" spans="2:20" x14ac:dyDescent="0.25">
      <c r="B190" s="85"/>
      <c r="C190" s="85"/>
      <c r="D190" s="85"/>
      <c r="E190" s="85"/>
      <c r="F190" s="85"/>
      <c r="G190" s="85"/>
      <c r="H190" s="85"/>
      <c r="I190" s="85"/>
      <c r="J190" s="85"/>
      <c r="K190" s="85"/>
      <c r="L190" s="96"/>
      <c r="M190" s="151" t="s">
        <v>575</v>
      </c>
      <c r="N190" s="96"/>
      <c r="O190" s="96"/>
      <c r="P190" s="96"/>
      <c r="Q190" s="96"/>
      <c r="R190" s="96"/>
      <c r="S190" s="96"/>
      <c r="T190" s="96"/>
    </row>
    <row r="191" spans="2:20" x14ac:dyDescent="0.25">
      <c r="B191" s="85"/>
      <c r="C191" s="85"/>
      <c r="D191" s="85"/>
      <c r="E191" s="85"/>
      <c r="F191" s="85"/>
      <c r="G191" s="85"/>
      <c r="H191" s="85"/>
      <c r="I191" s="85"/>
      <c r="J191" s="85"/>
      <c r="K191" s="85"/>
      <c r="L191" s="96"/>
      <c r="M191" s="151" t="s">
        <v>576</v>
      </c>
      <c r="N191" s="96"/>
      <c r="O191" s="96"/>
      <c r="P191" s="96"/>
      <c r="Q191" s="96"/>
      <c r="R191" s="96"/>
      <c r="S191" s="96"/>
      <c r="T191" s="96"/>
    </row>
    <row r="192" spans="2:20" x14ac:dyDescent="0.25">
      <c r="B192" s="85"/>
      <c r="C192" s="85"/>
      <c r="D192" s="85"/>
      <c r="E192" s="85"/>
      <c r="F192" s="85"/>
      <c r="G192" s="85"/>
      <c r="H192" s="85"/>
      <c r="I192" s="85"/>
      <c r="J192" s="85"/>
      <c r="K192" s="85"/>
      <c r="L192" s="96"/>
      <c r="M192" s="96"/>
      <c r="N192" s="96"/>
      <c r="O192" s="96"/>
      <c r="P192" s="96"/>
      <c r="Q192" s="96"/>
      <c r="R192" s="96"/>
      <c r="S192" s="96"/>
      <c r="T192" s="96"/>
    </row>
    <row r="193" spans="2:20" ht="15.75" x14ac:dyDescent="0.25">
      <c r="B193" s="85"/>
      <c r="C193" s="85"/>
      <c r="D193" s="85"/>
      <c r="E193" s="85"/>
      <c r="F193" s="85"/>
      <c r="G193" s="85"/>
      <c r="H193" s="85"/>
      <c r="I193" s="85"/>
      <c r="J193" s="85"/>
      <c r="K193" s="85"/>
      <c r="L193" s="96"/>
      <c r="M193" s="150" t="s">
        <v>577</v>
      </c>
      <c r="N193" s="96"/>
      <c r="O193" s="96"/>
      <c r="P193" s="96"/>
      <c r="Q193" s="96"/>
      <c r="R193" s="96"/>
      <c r="S193" s="96"/>
      <c r="T193" s="96"/>
    </row>
    <row r="194" spans="2:20" x14ac:dyDescent="0.25">
      <c r="B194" s="85"/>
      <c r="C194" s="85"/>
      <c r="D194" s="85"/>
      <c r="E194" s="85"/>
      <c r="F194" s="85"/>
      <c r="G194" s="85"/>
      <c r="H194" s="85"/>
      <c r="I194" s="85"/>
      <c r="J194" s="85"/>
      <c r="K194" s="85"/>
      <c r="L194" s="96"/>
      <c r="M194" s="151" t="s">
        <v>578</v>
      </c>
      <c r="N194" s="96"/>
      <c r="O194" s="96"/>
      <c r="P194" s="96"/>
      <c r="Q194" s="96"/>
      <c r="R194" s="96"/>
      <c r="S194" s="96"/>
      <c r="T194" s="96"/>
    </row>
    <row r="195" spans="2:20" x14ac:dyDescent="0.25">
      <c r="B195" s="85"/>
      <c r="C195" s="85"/>
      <c r="D195" s="85"/>
      <c r="E195" s="85"/>
      <c r="F195" s="85"/>
      <c r="G195" s="85"/>
      <c r="H195" s="85"/>
      <c r="I195" s="85"/>
      <c r="J195" s="85"/>
      <c r="K195" s="85"/>
      <c r="L195" s="96"/>
      <c r="M195" s="96"/>
      <c r="N195" s="96"/>
      <c r="O195" s="96"/>
      <c r="P195" s="96"/>
      <c r="Q195" s="96"/>
      <c r="R195" s="96"/>
      <c r="S195" s="96"/>
      <c r="T195" s="96"/>
    </row>
    <row r="196" spans="2:20" ht="15.75" thickBot="1" x14ac:dyDescent="0.3">
      <c r="B196" s="113"/>
      <c r="C196" s="85"/>
      <c r="D196" s="113"/>
      <c r="E196" s="113"/>
      <c r="F196" s="85"/>
      <c r="G196" s="85"/>
      <c r="H196" s="85"/>
      <c r="I196" s="113"/>
      <c r="J196" s="85"/>
      <c r="K196" s="85"/>
      <c r="L196" s="85"/>
      <c r="M196" s="85"/>
      <c r="N196" s="85"/>
      <c r="O196" s="85"/>
      <c r="P196" s="85"/>
      <c r="Q196" s="85"/>
      <c r="R196" s="85"/>
      <c r="S196" s="85"/>
      <c r="T196" s="85"/>
    </row>
    <row r="197" spans="2:20" ht="15.75" thickTop="1" x14ac:dyDescent="0.25">
      <c r="B197" s="85"/>
      <c r="C197" s="125"/>
      <c r="D197" s="85"/>
      <c r="E197" s="85"/>
      <c r="F197" s="125"/>
      <c r="G197" s="125"/>
      <c r="H197" s="125"/>
      <c r="I197" s="85"/>
      <c r="J197" s="125"/>
      <c r="K197" s="125"/>
      <c r="L197" s="125"/>
      <c r="M197" s="125"/>
      <c r="N197" s="125"/>
      <c r="O197" s="125"/>
      <c r="P197" s="125"/>
      <c r="Q197" s="125"/>
      <c r="R197" s="125"/>
      <c r="S197" s="125"/>
      <c r="T197" s="125"/>
    </row>
    <row r="198" spans="2:20" x14ac:dyDescent="0.25">
      <c r="B198" s="88"/>
      <c r="C198" s="88"/>
      <c r="D198" s="88"/>
      <c r="E198" s="88"/>
      <c r="F198" s="88"/>
      <c r="G198" s="88"/>
      <c r="H198" s="88"/>
      <c r="I198" s="88"/>
      <c r="J198" s="88"/>
      <c r="K198" s="88"/>
      <c r="L198" s="88"/>
      <c r="M198" s="88"/>
      <c r="N198" s="88"/>
      <c r="O198" s="88"/>
      <c r="P198" s="88"/>
      <c r="Q198" s="88"/>
      <c r="R198" s="88"/>
      <c r="S198" s="88"/>
      <c r="T198" s="88"/>
    </row>
    <row r="199" spans="2:20" ht="21" x14ac:dyDescent="0.35">
      <c r="B199" s="88"/>
      <c r="C199" s="127" t="s">
        <v>579</v>
      </c>
      <c r="D199" s="88"/>
      <c r="E199" s="88"/>
      <c r="F199" s="88"/>
      <c r="G199" s="88"/>
      <c r="H199" s="88"/>
      <c r="I199" s="88"/>
      <c r="J199" s="88"/>
      <c r="K199" s="88"/>
      <c r="L199" s="88"/>
      <c r="M199" s="88"/>
      <c r="N199" s="88"/>
      <c r="O199" s="88"/>
      <c r="P199" s="88"/>
      <c r="Q199" s="88"/>
      <c r="R199" s="88"/>
      <c r="S199" s="88"/>
      <c r="T199" s="88"/>
    </row>
    <row r="200" spans="2:20" x14ac:dyDescent="0.25">
      <c r="B200" s="88"/>
      <c r="C200" s="88"/>
      <c r="D200" s="88"/>
      <c r="E200" s="88"/>
      <c r="F200" s="88"/>
      <c r="G200" s="88"/>
      <c r="H200" s="88"/>
      <c r="I200" s="88"/>
      <c r="J200" s="88"/>
      <c r="K200" s="88"/>
      <c r="L200" s="88"/>
      <c r="M200" s="88"/>
      <c r="N200" s="88"/>
      <c r="O200" s="88"/>
      <c r="P200" s="88"/>
      <c r="Q200" s="88"/>
      <c r="R200" s="88"/>
      <c r="S200" s="88"/>
      <c r="T200" s="88"/>
    </row>
    <row r="201" spans="2:20" x14ac:dyDescent="0.25">
      <c r="B201" s="88"/>
      <c r="C201" s="88"/>
      <c r="D201" s="88"/>
      <c r="E201" s="88"/>
      <c r="F201" s="88"/>
      <c r="G201" s="88"/>
      <c r="H201" s="88"/>
      <c r="I201" s="88"/>
      <c r="J201" s="88"/>
      <c r="K201" s="88"/>
      <c r="L201" s="88"/>
      <c r="M201" s="88"/>
      <c r="N201" s="88"/>
      <c r="O201" s="88"/>
      <c r="P201" s="88"/>
      <c r="Q201" s="88"/>
      <c r="R201" s="88"/>
      <c r="S201" s="88"/>
      <c r="T201" s="88"/>
    </row>
    <row r="202" spans="2:20" ht="45" x14ac:dyDescent="0.6">
      <c r="B202" s="88"/>
      <c r="C202" s="91" t="s">
        <v>580</v>
      </c>
      <c r="D202" s="88"/>
      <c r="E202" s="88"/>
      <c r="F202" s="88"/>
      <c r="G202" s="88"/>
      <c r="H202" s="88"/>
      <c r="I202" s="88"/>
      <c r="J202" s="88"/>
      <c r="K202" s="88"/>
      <c r="L202" s="88"/>
      <c r="M202" s="88"/>
      <c r="N202" s="88"/>
      <c r="O202" s="88"/>
      <c r="P202" s="88"/>
      <c r="Q202" s="88"/>
      <c r="R202" s="88"/>
      <c r="S202" s="88"/>
      <c r="T202" s="88"/>
    </row>
    <row r="203" spans="2:20" ht="45" x14ac:dyDescent="0.6">
      <c r="B203" s="88"/>
      <c r="C203" s="91" t="s">
        <v>581</v>
      </c>
      <c r="D203" s="88"/>
      <c r="E203" s="88"/>
      <c r="F203" s="88"/>
      <c r="G203" s="88"/>
      <c r="H203" s="88"/>
      <c r="I203" s="88"/>
      <c r="J203" s="88"/>
      <c r="K203" s="88"/>
      <c r="L203" s="88"/>
      <c r="M203" s="88"/>
      <c r="N203" s="88"/>
      <c r="O203" s="88"/>
      <c r="P203" s="88"/>
      <c r="Q203" s="88"/>
      <c r="R203" s="88"/>
      <c r="S203" s="88"/>
      <c r="T203" s="88"/>
    </row>
    <row r="204" spans="2:20" x14ac:dyDescent="0.25">
      <c r="B204" s="88"/>
      <c r="C204" s="88"/>
      <c r="D204" s="88"/>
      <c r="E204" s="88"/>
      <c r="F204" s="88"/>
      <c r="G204" s="88"/>
      <c r="H204" s="88"/>
      <c r="I204" s="88"/>
      <c r="J204" s="88"/>
      <c r="K204" s="88"/>
      <c r="L204" s="88"/>
      <c r="M204" s="88"/>
      <c r="N204" s="88"/>
      <c r="O204" s="88"/>
      <c r="P204" s="88"/>
      <c r="Q204" s="88"/>
      <c r="R204" s="88"/>
      <c r="S204" s="88"/>
      <c r="T204" s="88"/>
    </row>
    <row r="205" spans="2:20" x14ac:dyDescent="0.25">
      <c r="B205" s="88"/>
      <c r="C205" s="88"/>
      <c r="D205" s="88"/>
      <c r="E205" s="88"/>
      <c r="F205" s="88"/>
      <c r="G205" s="88"/>
      <c r="H205" s="88"/>
      <c r="I205" s="88"/>
      <c r="J205" s="88"/>
      <c r="K205" s="88"/>
      <c r="L205" s="88"/>
      <c r="M205" s="88"/>
      <c r="N205" s="88"/>
      <c r="O205" s="88"/>
      <c r="P205" s="88"/>
      <c r="Q205" s="88"/>
      <c r="R205" s="88"/>
      <c r="S205" s="88"/>
      <c r="T205" s="88"/>
    </row>
    <row r="206" spans="2:20" x14ac:dyDescent="0.25">
      <c r="B206" s="88"/>
      <c r="C206" s="88"/>
      <c r="D206" s="88"/>
      <c r="E206" s="88"/>
      <c r="F206" s="88"/>
      <c r="G206" s="88"/>
      <c r="H206" s="88"/>
      <c r="I206" s="88"/>
      <c r="J206" s="88"/>
      <c r="K206" s="88"/>
      <c r="L206" s="88"/>
      <c r="M206" s="88"/>
      <c r="N206" s="88"/>
      <c r="O206" s="88"/>
      <c r="P206" s="88"/>
      <c r="Q206" s="88"/>
      <c r="R206" s="88"/>
      <c r="S206" s="88"/>
      <c r="T206" s="88"/>
    </row>
    <row r="207" spans="2:20" ht="15.75" thickBot="1" x14ac:dyDescent="0.3">
      <c r="B207" s="113"/>
      <c r="C207" s="113"/>
      <c r="D207" s="113"/>
      <c r="E207" s="85"/>
      <c r="F207" s="85"/>
      <c r="G207" s="85"/>
      <c r="H207" s="113"/>
      <c r="I207" s="113"/>
      <c r="J207" s="113"/>
      <c r="K207" s="85"/>
      <c r="L207" s="85"/>
      <c r="M207" s="113"/>
      <c r="N207" s="113"/>
      <c r="O207" s="85"/>
      <c r="P207" s="85"/>
      <c r="Q207" s="113"/>
      <c r="R207" s="85"/>
      <c r="S207" s="113"/>
      <c r="T207" s="113"/>
    </row>
    <row r="208" spans="2:20" ht="15.75" thickTop="1" x14ac:dyDescent="0.25">
      <c r="B208" s="85"/>
      <c r="C208" s="85"/>
      <c r="D208" s="85"/>
      <c r="E208" s="125"/>
      <c r="F208" s="125"/>
      <c r="G208" s="125"/>
      <c r="H208" s="85"/>
      <c r="I208" s="85"/>
      <c r="J208" s="85"/>
      <c r="K208" s="125"/>
      <c r="L208" s="125"/>
      <c r="M208" s="85"/>
      <c r="N208" s="85"/>
      <c r="O208" s="125"/>
      <c r="P208" s="125"/>
      <c r="Q208" s="85"/>
      <c r="R208" s="125"/>
      <c r="S208" s="85"/>
      <c r="T208" s="85"/>
    </row>
    <row r="209" spans="2:20" ht="18.75" x14ac:dyDescent="0.3">
      <c r="B209" s="97" t="s">
        <v>582</v>
      </c>
      <c r="C209" s="85"/>
      <c r="D209" s="85"/>
      <c r="E209" s="85"/>
      <c r="F209" s="85"/>
      <c r="G209" s="85"/>
      <c r="H209" s="85"/>
      <c r="I209" s="85"/>
      <c r="J209" s="85"/>
      <c r="K209" s="85"/>
      <c r="L209" s="85"/>
      <c r="M209" s="85"/>
      <c r="N209" s="85"/>
      <c r="O209" s="85"/>
      <c r="P209" s="85"/>
      <c r="Q209" s="85"/>
      <c r="R209" s="85"/>
      <c r="S209" s="85"/>
      <c r="T209" s="85"/>
    </row>
    <row r="210" spans="2:20" ht="33" x14ac:dyDescent="0.45">
      <c r="B210" s="129" t="s">
        <v>583</v>
      </c>
      <c r="C210" s="85"/>
      <c r="D210" s="85"/>
      <c r="E210" s="85"/>
      <c r="F210" s="85"/>
      <c r="G210" s="85"/>
      <c r="H210" s="85"/>
      <c r="I210" s="85"/>
      <c r="J210" s="85"/>
      <c r="K210" s="85"/>
      <c r="L210" s="85"/>
      <c r="M210" s="85"/>
      <c r="N210" s="85"/>
      <c r="O210" s="85"/>
      <c r="P210" s="85"/>
      <c r="Q210" s="85"/>
      <c r="R210" s="85"/>
      <c r="S210" s="85"/>
      <c r="T210" s="85"/>
    </row>
    <row r="211" spans="2:20" x14ac:dyDescent="0.25">
      <c r="B211" s="85"/>
      <c r="C211" s="85"/>
      <c r="D211" s="85"/>
      <c r="E211" s="85"/>
      <c r="F211" s="85"/>
      <c r="G211" s="85"/>
      <c r="H211" s="85"/>
      <c r="I211" s="85"/>
      <c r="J211" s="85"/>
      <c r="K211" s="85"/>
      <c r="L211" s="85"/>
      <c r="M211" s="85"/>
      <c r="N211" s="85"/>
      <c r="O211" s="85"/>
      <c r="P211" s="85"/>
      <c r="Q211" s="85"/>
      <c r="R211" s="85"/>
      <c r="S211" s="85"/>
      <c r="T211" s="85"/>
    </row>
    <row r="212" spans="2:20" x14ac:dyDescent="0.25">
      <c r="B212" s="93"/>
      <c r="C212" s="93"/>
      <c r="D212" s="93"/>
      <c r="E212" s="93"/>
      <c r="F212" s="93"/>
      <c r="G212" s="85"/>
      <c r="H212" s="85"/>
      <c r="I212" s="93"/>
      <c r="J212" s="93"/>
      <c r="K212" s="93"/>
      <c r="L212" s="93"/>
      <c r="M212" s="93"/>
      <c r="N212" s="85"/>
      <c r="O212" s="85"/>
      <c r="P212" s="93"/>
      <c r="Q212" s="93"/>
      <c r="R212" s="93"/>
      <c r="S212" s="93"/>
      <c r="T212" s="93"/>
    </row>
    <row r="213" spans="2:20" x14ac:dyDescent="0.25">
      <c r="B213" s="93"/>
      <c r="C213" s="190">
        <v>1</v>
      </c>
      <c r="D213" s="93"/>
      <c r="E213" s="93"/>
      <c r="F213" s="93"/>
      <c r="G213" s="85"/>
      <c r="H213" s="85"/>
      <c r="I213" s="93"/>
      <c r="J213" s="190">
        <v>2</v>
      </c>
      <c r="K213" s="93"/>
      <c r="L213" s="93"/>
      <c r="M213" s="93"/>
      <c r="N213" s="85"/>
      <c r="O213" s="85"/>
      <c r="P213" s="93"/>
      <c r="Q213" s="190">
        <v>3</v>
      </c>
      <c r="R213" s="93"/>
      <c r="S213" s="93"/>
      <c r="T213" s="93"/>
    </row>
    <row r="214" spans="2:20" x14ac:dyDescent="0.25">
      <c r="B214" s="93"/>
      <c r="C214" s="190"/>
      <c r="D214" s="93"/>
      <c r="E214" s="93"/>
      <c r="F214" s="93"/>
      <c r="G214" s="85"/>
      <c r="H214" s="85"/>
      <c r="I214" s="93"/>
      <c r="J214" s="190"/>
      <c r="K214" s="93"/>
      <c r="L214" s="93"/>
      <c r="M214" s="93"/>
      <c r="N214" s="85"/>
      <c r="O214" s="85"/>
      <c r="P214" s="93"/>
      <c r="Q214" s="190"/>
      <c r="R214" s="93"/>
      <c r="S214" s="93"/>
      <c r="T214" s="93"/>
    </row>
    <row r="215" spans="2:20" x14ac:dyDescent="0.25">
      <c r="B215" s="93"/>
      <c r="C215" s="93"/>
      <c r="D215" s="93"/>
      <c r="E215" s="93"/>
      <c r="F215" s="93"/>
      <c r="G215" s="85"/>
      <c r="H215" s="85"/>
      <c r="I215" s="93"/>
      <c r="J215" s="93"/>
      <c r="K215" s="93"/>
      <c r="L215" s="93"/>
      <c r="M215" s="93"/>
      <c r="N215" s="85"/>
      <c r="O215" s="85"/>
      <c r="P215" s="93"/>
      <c r="Q215" s="93"/>
      <c r="R215" s="93"/>
      <c r="S215" s="93"/>
      <c r="T215" s="93"/>
    </row>
    <row r="216" spans="2:20" ht="21" customHeight="1" x14ac:dyDescent="0.25">
      <c r="B216" s="189" t="s">
        <v>584</v>
      </c>
      <c r="C216" s="189"/>
      <c r="D216" s="189"/>
      <c r="E216" s="189"/>
      <c r="F216" s="189"/>
      <c r="G216" s="85"/>
      <c r="H216" s="85"/>
      <c r="I216" s="189" t="s">
        <v>587</v>
      </c>
      <c r="J216" s="189"/>
      <c r="K216" s="189"/>
      <c r="L216" s="189"/>
      <c r="M216" s="189"/>
      <c r="N216" s="85"/>
      <c r="O216" s="85"/>
      <c r="P216" s="189" t="s">
        <v>590</v>
      </c>
      <c r="Q216" s="189"/>
      <c r="R216" s="189"/>
      <c r="S216" s="189"/>
      <c r="T216" s="189"/>
    </row>
    <row r="217" spans="2:20" x14ac:dyDescent="0.25">
      <c r="B217" s="189"/>
      <c r="C217" s="189"/>
      <c r="D217" s="189"/>
      <c r="E217" s="189"/>
      <c r="F217" s="189"/>
      <c r="G217" s="85"/>
      <c r="H217" s="85"/>
      <c r="I217" s="189"/>
      <c r="J217" s="189"/>
      <c r="K217" s="189"/>
      <c r="L217" s="189"/>
      <c r="M217" s="189"/>
      <c r="N217" s="85"/>
      <c r="O217" s="85"/>
      <c r="P217" s="189"/>
      <c r="Q217" s="189"/>
      <c r="R217" s="189"/>
      <c r="S217" s="189"/>
      <c r="T217" s="189"/>
    </row>
    <row r="218" spans="2:20" ht="20.25" x14ac:dyDescent="0.25">
      <c r="B218" s="153"/>
      <c r="C218" s="153"/>
      <c r="D218" s="153"/>
      <c r="E218" s="153"/>
      <c r="F218" s="153"/>
      <c r="G218" s="85"/>
      <c r="H218" s="85"/>
      <c r="I218" s="93"/>
      <c r="J218" s="93"/>
      <c r="K218" s="93"/>
      <c r="L218" s="93"/>
      <c r="M218" s="93"/>
      <c r="N218" s="85"/>
      <c r="O218" s="85"/>
      <c r="P218" s="93"/>
      <c r="Q218" s="93"/>
      <c r="R218" s="93"/>
      <c r="S218" s="93"/>
      <c r="T218" s="93"/>
    </row>
    <row r="219" spans="2:20" x14ac:dyDescent="0.25">
      <c r="B219" s="93"/>
      <c r="C219" s="93"/>
      <c r="D219" s="93"/>
      <c r="E219" s="93"/>
      <c r="F219" s="93"/>
      <c r="G219" s="85"/>
      <c r="H219" s="85"/>
      <c r="I219" s="93"/>
      <c r="J219" s="93"/>
      <c r="K219" s="93"/>
      <c r="L219" s="93"/>
      <c r="M219" s="93"/>
      <c r="N219" s="85"/>
      <c r="O219" s="85"/>
      <c r="P219" s="93"/>
      <c r="Q219" s="93"/>
      <c r="R219" s="93"/>
      <c r="S219" s="93"/>
      <c r="T219" s="93"/>
    </row>
    <row r="220" spans="2:20" ht="15" customHeight="1" x14ac:dyDescent="0.25">
      <c r="B220" s="188" t="s">
        <v>585</v>
      </c>
      <c r="C220" s="188"/>
      <c r="D220" s="188"/>
      <c r="E220" s="188"/>
      <c r="F220" s="188"/>
      <c r="G220" s="85"/>
      <c r="H220" s="85"/>
      <c r="I220" s="188" t="s">
        <v>588</v>
      </c>
      <c r="J220" s="188"/>
      <c r="K220" s="188"/>
      <c r="L220" s="188"/>
      <c r="M220" s="188"/>
      <c r="N220" s="85"/>
      <c r="O220" s="85"/>
      <c r="P220" s="188" t="s">
        <v>591</v>
      </c>
      <c r="Q220" s="188"/>
      <c r="R220" s="188"/>
      <c r="S220" s="188"/>
      <c r="T220" s="188"/>
    </row>
    <row r="221" spans="2:20" x14ac:dyDescent="0.25">
      <c r="B221" s="188"/>
      <c r="C221" s="188"/>
      <c r="D221" s="188"/>
      <c r="E221" s="188"/>
      <c r="F221" s="188"/>
      <c r="G221" s="85"/>
      <c r="H221" s="85"/>
      <c r="I221" s="188"/>
      <c r="J221" s="188"/>
      <c r="K221" s="188"/>
      <c r="L221" s="188"/>
      <c r="M221" s="188"/>
      <c r="N221" s="85"/>
      <c r="O221" s="85"/>
      <c r="P221" s="188"/>
      <c r="Q221" s="188"/>
      <c r="R221" s="188"/>
      <c r="S221" s="188"/>
      <c r="T221" s="188"/>
    </row>
    <row r="222" spans="2:20" x14ac:dyDescent="0.25">
      <c r="B222" s="154"/>
      <c r="C222" s="154"/>
      <c r="D222" s="154"/>
      <c r="E222" s="154"/>
      <c r="F222" s="154"/>
      <c r="G222" s="85"/>
      <c r="H222" s="85"/>
      <c r="I222" s="154"/>
      <c r="J222" s="154"/>
      <c r="K222" s="154"/>
      <c r="L222" s="154"/>
      <c r="M222" s="154"/>
      <c r="N222" s="85"/>
      <c r="O222" s="85"/>
      <c r="P222" s="154"/>
      <c r="Q222" s="154"/>
      <c r="R222" s="154"/>
      <c r="S222" s="154"/>
      <c r="T222" s="154"/>
    </row>
    <row r="223" spans="2:20" x14ac:dyDescent="0.25">
      <c r="B223" s="93"/>
      <c r="C223" s="93"/>
      <c r="D223" s="93"/>
      <c r="E223" s="93"/>
      <c r="F223" s="93"/>
      <c r="G223" s="85"/>
      <c r="H223" s="85"/>
      <c r="I223" s="93"/>
      <c r="J223" s="93"/>
      <c r="K223" s="93"/>
      <c r="L223" s="93"/>
      <c r="M223" s="93"/>
      <c r="N223" s="85"/>
      <c r="O223" s="85"/>
      <c r="P223" s="93"/>
      <c r="Q223" s="93"/>
      <c r="R223" s="93"/>
      <c r="S223" s="93"/>
      <c r="T223" s="93"/>
    </row>
    <row r="224" spans="2:20" x14ac:dyDescent="0.25">
      <c r="B224" s="93"/>
      <c r="C224" s="93"/>
      <c r="D224" s="93"/>
      <c r="E224" s="93"/>
      <c r="F224" s="93"/>
      <c r="G224" s="85"/>
      <c r="H224" s="85"/>
      <c r="I224" s="93"/>
      <c r="J224" s="93"/>
      <c r="K224" s="93"/>
      <c r="L224" s="93"/>
      <c r="M224" s="93"/>
      <c r="N224" s="85"/>
      <c r="O224" s="85"/>
      <c r="P224" s="93"/>
      <c r="Q224" s="93"/>
      <c r="R224" s="93"/>
      <c r="S224" s="93"/>
      <c r="T224" s="93"/>
    </row>
    <row r="225" spans="2:20" x14ac:dyDescent="0.25">
      <c r="B225" s="93"/>
      <c r="C225" s="155"/>
      <c r="D225" s="155"/>
      <c r="E225" s="93"/>
      <c r="F225" s="93"/>
      <c r="G225" s="85"/>
      <c r="H225" s="85"/>
      <c r="I225" s="155"/>
      <c r="J225" s="155"/>
      <c r="K225" s="155"/>
      <c r="L225" s="93"/>
      <c r="M225" s="93"/>
      <c r="N225" s="85"/>
      <c r="O225" s="85"/>
      <c r="P225" s="155"/>
      <c r="Q225" s="93"/>
      <c r="R225" s="155"/>
      <c r="S225" s="93"/>
      <c r="T225" s="93"/>
    </row>
    <row r="226" spans="2:20" x14ac:dyDescent="0.25">
      <c r="B226" s="156"/>
      <c r="C226" s="93"/>
      <c r="D226" s="156"/>
      <c r="E226" s="156"/>
      <c r="F226" s="156"/>
      <c r="I226" s="93"/>
      <c r="J226" s="93"/>
      <c r="K226" s="93"/>
      <c r="L226" s="156"/>
      <c r="M226" s="156"/>
      <c r="P226" s="93"/>
      <c r="Q226" s="156"/>
      <c r="R226" s="93"/>
      <c r="S226" s="156"/>
      <c r="T226" s="156"/>
    </row>
    <row r="227" spans="2:20" x14ac:dyDescent="0.25">
      <c r="B227" s="186" t="s">
        <v>586</v>
      </c>
      <c r="C227" s="186"/>
      <c r="D227" s="186"/>
      <c r="E227" s="186"/>
      <c r="F227" s="186"/>
      <c r="G227" s="85"/>
      <c r="H227" s="85"/>
      <c r="I227" s="187" t="s">
        <v>589</v>
      </c>
      <c r="J227" s="187"/>
      <c r="K227" s="187"/>
      <c r="L227" s="187"/>
      <c r="M227" s="187"/>
      <c r="N227" s="85"/>
      <c r="O227" s="85"/>
      <c r="P227" s="186" t="s">
        <v>592</v>
      </c>
      <c r="Q227" s="186"/>
      <c r="R227" s="186"/>
      <c r="S227" s="186"/>
      <c r="T227" s="186"/>
    </row>
    <row r="228" spans="2:20" x14ac:dyDescent="0.25">
      <c r="B228" s="186"/>
      <c r="C228" s="186"/>
      <c r="D228" s="186"/>
      <c r="E228" s="186"/>
      <c r="F228" s="186"/>
      <c r="G228" s="85"/>
      <c r="H228" s="85"/>
      <c r="I228" s="187"/>
      <c r="J228" s="187"/>
      <c r="K228" s="187"/>
      <c r="L228" s="187"/>
      <c r="M228" s="187"/>
      <c r="N228" s="85"/>
      <c r="O228" s="85"/>
      <c r="P228" s="186"/>
      <c r="Q228" s="186"/>
      <c r="R228" s="186"/>
      <c r="S228" s="186"/>
      <c r="T228" s="186"/>
    </row>
    <row r="229" spans="2:20" x14ac:dyDescent="0.25">
      <c r="B229" s="93"/>
      <c r="C229" s="93"/>
      <c r="D229" s="93"/>
      <c r="E229" s="93"/>
      <c r="F229" s="93"/>
      <c r="G229" s="85"/>
      <c r="H229" s="85"/>
      <c r="I229" s="93"/>
      <c r="J229" s="93"/>
      <c r="K229" s="93"/>
      <c r="L229" s="93"/>
      <c r="M229" s="93"/>
      <c r="N229" s="85"/>
      <c r="O229" s="85"/>
      <c r="P229" s="93"/>
      <c r="Q229" s="93"/>
      <c r="R229" s="93"/>
      <c r="S229" s="93"/>
      <c r="T229" s="93"/>
    </row>
    <row r="230" spans="2:20" x14ac:dyDescent="0.25">
      <c r="B230" s="93"/>
      <c r="C230" s="93"/>
      <c r="D230" s="93"/>
      <c r="E230" s="93"/>
      <c r="F230" s="93"/>
      <c r="G230" s="85"/>
      <c r="H230" s="85"/>
      <c r="I230" s="93"/>
      <c r="J230" s="93"/>
      <c r="K230" s="93"/>
      <c r="L230" s="93"/>
      <c r="M230" s="93"/>
      <c r="N230" s="85"/>
      <c r="O230" s="85"/>
      <c r="P230" s="93"/>
      <c r="Q230" s="93"/>
      <c r="R230" s="93"/>
      <c r="S230" s="93"/>
      <c r="T230" s="93"/>
    </row>
    <row r="231" spans="2:20" ht="15.75" thickBot="1" x14ac:dyDescent="0.3">
      <c r="B231" s="113"/>
      <c r="C231" s="85"/>
      <c r="D231" s="85"/>
      <c r="E231" s="85"/>
      <c r="F231" s="85"/>
      <c r="G231" s="85"/>
      <c r="H231" s="85"/>
      <c r="I231" s="85"/>
      <c r="J231" s="113"/>
      <c r="K231" s="113"/>
      <c r="L231" s="85"/>
      <c r="M231" s="113"/>
      <c r="N231" s="113"/>
      <c r="O231" s="85"/>
      <c r="P231" s="85"/>
      <c r="Q231" s="85"/>
      <c r="R231" s="85"/>
      <c r="S231" s="85"/>
      <c r="T231" s="85"/>
    </row>
    <row r="232" spans="2:20" ht="15.75" thickTop="1" x14ac:dyDescent="0.25">
      <c r="C232" s="125"/>
      <c r="D232" s="125"/>
      <c r="E232" s="125"/>
      <c r="F232" s="125"/>
      <c r="G232" s="125"/>
      <c r="H232" s="125"/>
      <c r="I232" s="125"/>
      <c r="J232" s="85"/>
      <c r="K232" s="85"/>
      <c r="L232" s="125"/>
      <c r="M232" s="85"/>
      <c r="N232" s="85"/>
      <c r="O232" s="125"/>
      <c r="P232" s="125"/>
      <c r="Q232" s="125"/>
      <c r="R232" s="125"/>
      <c r="S232" s="125"/>
      <c r="T232" s="125"/>
    </row>
    <row r="233" spans="2:20" ht="18.75" x14ac:dyDescent="0.3">
      <c r="B233" s="97" t="s">
        <v>582</v>
      </c>
      <c r="C233" s="85"/>
      <c r="D233" s="85"/>
      <c r="E233" s="85"/>
      <c r="F233" s="85"/>
      <c r="G233" s="85"/>
      <c r="H233" s="85"/>
      <c r="I233" s="85"/>
      <c r="J233" s="85"/>
      <c r="K233" s="85"/>
      <c r="L233" s="85"/>
      <c r="M233" s="85"/>
      <c r="N233" s="85"/>
      <c r="O233" s="85"/>
      <c r="P233" s="85"/>
      <c r="Q233" s="85"/>
      <c r="R233" s="85"/>
      <c r="S233" s="85"/>
      <c r="T233" s="85"/>
    </row>
    <row r="234" spans="2:20" ht="33" x14ac:dyDescent="0.45">
      <c r="B234" s="129" t="s">
        <v>593</v>
      </c>
      <c r="C234" s="85"/>
      <c r="D234" s="85"/>
      <c r="E234" s="85"/>
      <c r="F234" s="85"/>
      <c r="G234" s="85"/>
      <c r="H234" s="85"/>
      <c r="I234" s="85"/>
      <c r="J234" s="85"/>
      <c r="K234" s="85"/>
      <c r="L234" s="85"/>
      <c r="M234" s="85"/>
      <c r="N234" s="85"/>
      <c r="O234" s="85"/>
      <c r="P234" s="85"/>
      <c r="Q234" s="85"/>
      <c r="R234" s="85"/>
      <c r="S234" s="85"/>
      <c r="T234" s="85"/>
    </row>
    <row r="235" spans="2:20" x14ac:dyDescent="0.25">
      <c r="B235" s="85"/>
      <c r="C235" s="85"/>
      <c r="D235" s="85"/>
      <c r="E235" s="85"/>
      <c r="F235" s="85"/>
      <c r="G235" s="85"/>
      <c r="H235" s="85"/>
      <c r="I235" s="85"/>
      <c r="J235" s="85"/>
      <c r="K235" s="85"/>
      <c r="L235" s="85"/>
      <c r="M235" s="85"/>
      <c r="N235" s="85"/>
      <c r="O235" s="85"/>
      <c r="P235" s="85"/>
      <c r="Q235" s="85"/>
      <c r="R235" s="85"/>
      <c r="S235" s="85"/>
      <c r="T235" s="85"/>
    </row>
    <row r="236" spans="2:20" x14ac:dyDescent="0.25">
      <c r="B236" s="93"/>
      <c r="C236" s="93"/>
      <c r="D236" s="93"/>
      <c r="E236" s="93"/>
      <c r="F236" s="93"/>
      <c r="G236" s="85"/>
      <c r="H236" s="85"/>
      <c r="I236" s="93"/>
      <c r="J236" s="93"/>
      <c r="K236" s="93"/>
      <c r="L236" s="93"/>
      <c r="M236" s="93"/>
      <c r="N236" s="85"/>
      <c r="O236" s="85"/>
      <c r="P236" s="93"/>
      <c r="Q236" s="93"/>
      <c r="R236" s="93"/>
      <c r="S236" s="93"/>
      <c r="T236" s="93"/>
    </row>
    <row r="237" spans="2:20" x14ac:dyDescent="0.25">
      <c r="B237" s="93"/>
      <c r="C237" s="190">
        <v>4</v>
      </c>
      <c r="D237" s="93"/>
      <c r="E237" s="93"/>
      <c r="F237" s="93"/>
      <c r="G237" s="85"/>
      <c r="H237" s="85"/>
      <c r="I237" s="93"/>
      <c r="J237" s="190">
        <v>5</v>
      </c>
      <c r="K237" s="93"/>
      <c r="L237" s="93"/>
      <c r="M237" s="93"/>
      <c r="N237" s="85"/>
      <c r="O237" s="85"/>
      <c r="P237" s="93"/>
      <c r="Q237" s="190">
        <v>6</v>
      </c>
      <c r="R237" s="93"/>
      <c r="S237" s="93"/>
      <c r="T237" s="93"/>
    </row>
    <row r="238" spans="2:20" x14ac:dyDescent="0.25">
      <c r="B238" s="93"/>
      <c r="C238" s="190"/>
      <c r="D238" s="93"/>
      <c r="E238" s="93"/>
      <c r="F238" s="93"/>
      <c r="G238" s="85"/>
      <c r="H238" s="85"/>
      <c r="I238" s="93"/>
      <c r="J238" s="190"/>
      <c r="K238" s="93"/>
      <c r="L238" s="93"/>
      <c r="M238" s="93"/>
      <c r="N238" s="85"/>
      <c r="O238" s="85"/>
      <c r="P238" s="93"/>
      <c r="Q238" s="190"/>
      <c r="R238" s="93"/>
      <c r="S238" s="93"/>
      <c r="T238" s="93"/>
    </row>
    <row r="239" spans="2:20" x14ac:dyDescent="0.25">
      <c r="B239" s="93"/>
      <c r="C239" s="93"/>
      <c r="D239" s="93"/>
      <c r="E239" s="93"/>
      <c r="F239" s="93"/>
      <c r="G239" s="85"/>
      <c r="H239" s="85"/>
      <c r="I239" s="93"/>
      <c r="J239" s="93"/>
      <c r="K239" s="93"/>
      <c r="L239" s="93"/>
      <c r="M239" s="93"/>
      <c r="N239" s="85"/>
      <c r="O239" s="85"/>
      <c r="P239" s="93"/>
      <c r="Q239" s="93"/>
      <c r="R239" s="93"/>
      <c r="S239" s="93"/>
      <c r="T239" s="93"/>
    </row>
    <row r="240" spans="2:20" x14ac:dyDescent="0.25">
      <c r="B240" s="189" t="s">
        <v>594</v>
      </c>
      <c r="C240" s="189"/>
      <c r="D240" s="189"/>
      <c r="E240" s="189"/>
      <c r="F240" s="189"/>
      <c r="G240" s="85"/>
      <c r="H240" s="85"/>
      <c r="I240" s="189" t="s">
        <v>595</v>
      </c>
      <c r="J240" s="189"/>
      <c r="K240" s="189"/>
      <c r="L240" s="189"/>
      <c r="M240" s="189"/>
      <c r="N240" s="85"/>
      <c r="O240" s="85"/>
      <c r="P240" s="189" t="s">
        <v>596</v>
      </c>
      <c r="Q240" s="189"/>
      <c r="R240" s="189"/>
      <c r="S240" s="189"/>
      <c r="T240" s="189"/>
    </row>
    <row r="241" spans="2:20" ht="25.5" customHeight="1" x14ac:dyDescent="0.25">
      <c r="B241" s="189"/>
      <c r="C241" s="189"/>
      <c r="D241" s="189"/>
      <c r="E241" s="189"/>
      <c r="F241" s="189"/>
      <c r="G241" s="85"/>
      <c r="H241" s="85"/>
      <c r="I241" s="189"/>
      <c r="J241" s="189"/>
      <c r="K241" s="189"/>
      <c r="L241" s="189"/>
      <c r="M241" s="189"/>
      <c r="N241" s="85"/>
      <c r="O241" s="85"/>
      <c r="P241" s="189"/>
      <c r="Q241" s="189"/>
      <c r="R241" s="189"/>
      <c r="S241" s="189"/>
      <c r="T241" s="189"/>
    </row>
    <row r="242" spans="2:20" ht="20.25" x14ac:dyDescent="0.25">
      <c r="B242" s="153"/>
      <c r="C242" s="153"/>
      <c r="D242" s="153"/>
      <c r="E242" s="153"/>
      <c r="F242" s="153"/>
      <c r="G242" s="85"/>
      <c r="H242" s="85"/>
      <c r="I242" s="93"/>
      <c r="J242" s="93"/>
      <c r="K242" s="93"/>
      <c r="L242" s="93"/>
      <c r="M242" s="93"/>
      <c r="N242" s="85"/>
      <c r="O242" s="85"/>
      <c r="P242" s="93"/>
      <c r="Q242" s="93"/>
      <c r="R242" s="93"/>
      <c r="S242" s="93"/>
      <c r="T242" s="93"/>
    </row>
    <row r="243" spans="2:20" x14ac:dyDescent="0.25">
      <c r="B243" s="93"/>
      <c r="C243" s="93"/>
      <c r="D243" s="93"/>
      <c r="E243" s="93"/>
      <c r="F243" s="93"/>
      <c r="G243" s="85"/>
      <c r="H243" s="85"/>
      <c r="I243" s="93"/>
      <c r="J243" s="93"/>
      <c r="K243" s="93"/>
      <c r="L243" s="93"/>
      <c r="M243" s="93"/>
      <c r="N243" s="85"/>
      <c r="O243" s="85"/>
      <c r="P243" s="93"/>
      <c r="Q243" s="93"/>
      <c r="R243" s="93"/>
      <c r="S243" s="93"/>
      <c r="T243" s="93"/>
    </row>
    <row r="244" spans="2:20" ht="15" customHeight="1" x14ac:dyDescent="0.25">
      <c r="B244" s="188" t="s">
        <v>597</v>
      </c>
      <c r="C244" s="188"/>
      <c r="D244" s="188"/>
      <c r="E244" s="188"/>
      <c r="F244" s="188"/>
      <c r="G244" s="85"/>
      <c r="H244" s="85"/>
      <c r="I244" s="188" t="s">
        <v>599</v>
      </c>
      <c r="J244" s="188"/>
      <c r="K244" s="188"/>
      <c r="L244" s="188"/>
      <c r="M244" s="188"/>
      <c r="N244" s="85"/>
      <c r="O244" s="85"/>
      <c r="P244" s="188" t="s">
        <v>601</v>
      </c>
      <c r="Q244" s="188"/>
      <c r="R244" s="188"/>
      <c r="S244" s="188"/>
      <c r="T244" s="188"/>
    </row>
    <row r="245" spans="2:20" x14ac:dyDescent="0.25">
      <c r="B245" s="188"/>
      <c r="C245" s="188"/>
      <c r="D245" s="188"/>
      <c r="E245" s="188"/>
      <c r="F245" s="188"/>
      <c r="G245" s="85"/>
      <c r="H245" s="85"/>
      <c r="I245" s="188"/>
      <c r="J245" s="188"/>
      <c r="K245" s="188"/>
      <c r="L245" s="188"/>
      <c r="M245" s="188"/>
      <c r="N245" s="85"/>
      <c r="O245" s="85"/>
      <c r="P245" s="188"/>
      <c r="Q245" s="188"/>
      <c r="R245" s="188"/>
      <c r="S245" s="188"/>
      <c r="T245" s="188"/>
    </row>
    <row r="246" spans="2:20" x14ac:dyDescent="0.25">
      <c r="B246" s="93"/>
      <c r="C246" s="93"/>
      <c r="D246" s="93"/>
      <c r="E246" s="93"/>
      <c r="F246" s="93"/>
      <c r="G246" s="85"/>
      <c r="H246" s="85"/>
      <c r="I246" s="93"/>
      <c r="J246" s="93"/>
      <c r="K246" s="93"/>
      <c r="L246" s="93"/>
      <c r="M246" s="93"/>
      <c r="N246" s="85"/>
      <c r="O246" s="85"/>
      <c r="P246" s="188"/>
      <c r="Q246" s="188"/>
      <c r="R246" s="188"/>
      <c r="S246" s="188"/>
      <c r="T246" s="188"/>
    </row>
    <row r="247" spans="2:20" x14ac:dyDescent="0.25">
      <c r="B247" s="93"/>
      <c r="C247" s="93"/>
      <c r="D247" s="93"/>
      <c r="E247" s="93"/>
      <c r="F247" s="93"/>
      <c r="G247" s="85"/>
      <c r="H247" s="85"/>
      <c r="I247" s="93"/>
      <c r="J247" s="93"/>
      <c r="K247" s="93"/>
      <c r="L247" s="93"/>
      <c r="M247" s="93"/>
      <c r="N247" s="85"/>
      <c r="O247" s="85"/>
      <c r="P247" s="188"/>
      <c r="Q247" s="188"/>
      <c r="R247" s="188"/>
      <c r="S247" s="188"/>
      <c r="T247" s="188"/>
    </row>
    <row r="248" spans="2:20" x14ac:dyDescent="0.25">
      <c r="B248" s="93"/>
      <c r="C248" s="93"/>
      <c r="D248" s="93"/>
      <c r="E248" s="93"/>
      <c r="F248" s="93"/>
      <c r="G248" s="85"/>
      <c r="H248" s="85"/>
      <c r="I248" s="93"/>
      <c r="J248" s="93"/>
      <c r="K248" s="93"/>
      <c r="L248" s="93"/>
      <c r="M248" s="93"/>
      <c r="N248" s="85"/>
      <c r="O248" s="85"/>
      <c r="P248" s="188"/>
      <c r="Q248" s="188"/>
      <c r="R248" s="188"/>
      <c r="S248" s="188"/>
      <c r="T248" s="188"/>
    </row>
    <row r="249" spans="2:20" x14ac:dyDescent="0.25">
      <c r="B249" s="93"/>
      <c r="C249" s="155"/>
      <c r="D249" s="155"/>
      <c r="E249" s="93"/>
      <c r="F249" s="93"/>
      <c r="G249" s="85"/>
      <c r="H249" s="85"/>
      <c r="I249" s="155"/>
      <c r="J249" s="155"/>
      <c r="K249" s="155"/>
      <c r="L249" s="93"/>
      <c r="M249" s="93"/>
      <c r="N249" s="85"/>
      <c r="O249" s="85"/>
      <c r="P249" s="155"/>
      <c r="Q249" s="93"/>
      <c r="R249" s="155"/>
      <c r="S249" s="93"/>
      <c r="T249" s="93"/>
    </row>
    <row r="250" spans="2:20" x14ac:dyDescent="0.25">
      <c r="B250" s="156"/>
      <c r="C250" s="93"/>
      <c r="D250" s="156"/>
      <c r="E250" s="156"/>
      <c r="F250" s="156"/>
      <c r="G250" s="85"/>
      <c r="H250" s="85"/>
      <c r="I250" s="93"/>
      <c r="J250" s="93"/>
      <c r="K250" s="93"/>
      <c r="L250" s="156"/>
      <c r="M250" s="156"/>
      <c r="N250" s="85"/>
      <c r="O250" s="85"/>
      <c r="P250" s="93"/>
      <c r="Q250" s="156"/>
      <c r="R250" s="93"/>
      <c r="S250" s="156"/>
      <c r="T250" s="156"/>
    </row>
    <row r="251" spans="2:20" x14ac:dyDescent="0.25">
      <c r="B251" s="186" t="s">
        <v>598</v>
      </c>
      <c r="C251" s="186"/>
      <c r="D251" s="186"/>
      <c r="E251" s="186"/>
      <c r="F251" s="186"/>
      <c r="G251" s="85"/>
      <c r="H251" s="85"/>
      <c r="I251" s="187" t="s">
        <v>600</v>
      </c>
      <c r="J251" s="187"/>
      <c r="K251" s="187"/>
      <c r="L251" s="187"/>
      <c r="M251" s="187"/>
      <c r="N251" s="85"/>
      <c r="O251" s="85"/>
      <c r="P251" s="186" t="s">
        <v>592</v>
      </c>
      <c r="Q251" s="186"/>
      <c r="R251" s="186"/>
      <c r="S251" s="186"/>
      <c r="T251" s="186"/>
    </row>
    <row r="252" spans="2:20" x14ac:dyDescent="0.25">
      <c r="B252" s="186"/>
      <c r="C252" s="186"/>
      <c r="D252" s="186"/>
      <c r="E252" s="186"/>
      <c r="F252" s="186"/>
      <c r="G252" s="85"/>
      <c r="H252" s="85"/>
      <c r="I252" s="187"/>
      <c r="J252" s="187"/>
      <c r="K252" s="187"/>
      <c r="L252" s="187"/>
      <c r="M252" s="187"/>
      <c r="N252" s="85"/>
      <c r="O252" s="85"/>
      <c r="P252" s="186"/>
      <c r="Q252" s="186"/>
      <c r="R252" s="186"/>
      <c r="S252" s="186"/>
      <c r="T252" s="186"/>
    </row>
    <row r="253" spans="2:20" x14ac:dyDescent="0.25">
      <c r="B253" s="93"/>
      <c r="C253" s="93"/>
      <c r="D253" s="93"/>
      <c r="E253" s="93"/>
      <c r="F253" s="93"/>
      <c r="G253" s="85"/>
      <c r="H253" s="85"/>
      <c r="I253" s="93"/>
      <c r="J253" s="93"/>
      <c r="K253" s="93"/>
      <c r="L253" s="93"/>
      <c r="M253" s="93"/>
      <c r="N253" s="85"/>
      <c r="O253" s="85"/>
      <c r="P253" s="93"/>
      <c r="Q253" s="93"/>
      <c r="R253" s="93"/>
      <c r="S253" s="93"/>
      <c r="T253" s="93"/>
    </row>
    <row r="254" spans="2:20" x14ac:dyDescent="0.25">
      <c r="B254" s="93"/>
      <c r="C254" s="93"/>
      <c r="D254" s="93"/>
      <c r="E254" s="93"/>
      <c r="F254" s="93"/>
      <c r="G254" s="85"/>
      <c r="H254" s="85"/>
      <c r="I254" s="93"/>
      <c r="J254" s="93"/>
      <c r="K254" s="93"/>
      <c r="L254" s="93"/>
      <c r="M254" s="93"/>
      <c r="N254" s="85"/>
      <c r="O254" s="85"/>
      <c r="P254" s="93"/>
      <c r="Q254" s="93"/>
      <c r="R254" s="93"/>
      <c r="S254" s="93"/>
      <c r="T254" s="93"/>
    </row>
    <row r="255" spans="2:20" ht="15.75" thickBot="1" x14ac:dyDescent="0.3">
      <c r="B255" s="113"/>
      <c r="C255" s="113"/>
      <c r="D255" s="113"/>
      <c r="E255" s="113"/>
      <c r="F255" s="85"/>
      <c r="G255" s="113"/>
      <c r="H255" s="113"/>
      <c r="I255" s="85"/>
      <c r="J255" s="113"/>
      <c r="K255" s="85"/>
      <c r="L255" s="85"/>
      <c r="M255" s="85"/>
      <c r="N255" s="85"/>
      <c r="O255" s="85"/>
      <c r="P255" s="113"/>
      <c r="Q255" s="113"/>
      <c r="R255" s="85"/>
      <c r="S255" s="85"/>
      <c r="T255" s="85"/>
    </row>
    <row r="256" spans="2:20" ht="15.75" thickTop="1" x14ac:dyDescent="0.25">
      <c r="B256" s="85"/>
      <c r="C256" s="85"/>
      <c r="D256" s="85"/>
      <c r="E256" s="85"/>
      <c r="F256" s="125"/>
      <c r="G256" s="85"/>
      <c r="H256" s="85"/>
      <c r="I256" s="125"/>
      <c r="J256" s="85"/>
      <c r="K256" s="125"/>
      <c r="L256" s="125"/>
      <c r="M256" s="125"/>
      <c r="N256" s="125"/>
      <c r="O256" s="125"/>
      <c r="P256" s="85"/>
      <c r="Q256" s="85"/>
      <c r="R256" s="125"/>
      <c r="S256" s="125"/>
      <c r="T256" s="125"/>
    </row>
    <row r="257" spans="2:20" ht="18.75" x14ac:dyDescent="0.3">
      <c r="B257" s="97" t="s">
        <v>602</v>
      </c>
      <c r="C257" s="85"/>
      <c r="D257" s="85"/>
      <c r="E257" s="85"/>
      <c r="F257" s="85"/>
      <c r="G257" s="85"/>
      <c r="H257" s="85"/>
      <c r="I257" s="85"/>
      <c r="J257" s="85"/>
      <c r="K257" s="85"/>
      <c r="L257" s="85"/>
      <c r="M257" s="85"/>
      <c r="N257" s="85"/>
      <c r="O257" s="85"/>
      <c r="P257" s="85"/>
      <c r="Q257" s="85"/>
      <c r="R257" s="85"/>
      <c r="S257" s="85"/>
      <c r="T257" s="85"/>
    </row>
    <row r="258" spans="2:20" ht="33" x14ac:dyDescent="0.45">
      <c r="B258" s="129" t="s">
        <v>603</v>
      </c>
      <c r="C258" s="85"/>
      <c r="D258" s="85"/>
      <c r="E258" s="85"/>
      <c r="F258" s="85"/>
      <c r="G258" s="85"/>
      <c r="H258" s="85"/>
      <c r="I258" s="85"/>
      <c r="J258" s="85"/>
      <c r="K258" s="85"/>
      <c r="L258" s="85"/>
      <c r="M258" s="85"/>
      <c r="N258" s="85"/>
      <c r="O258" s="85"/>
      <c r="P258" s="85"/>
      <c r="Q258" s="85"/>
      <c r="R258" s="85"/>
      <c r="S258" s="85"/>
      <c r="T258" s="85"/>
    </row>
    <row r="259" spans="2:20" x14ac:dyDescent="0.25">
      <c r="B259" s="85"/>
      <c r="C259" s="85"/>
      <c r="D259" s="85"/>
      <c r="E259" s="85"/>
      <c r="F259" s="85"/>
      <c r="G259" s="85"/>
      <c r="H259" s="85"/>
      <c r="I259" s="85"/>
      <c r="J259" s="85"/>
      <c r="K259" s="85"/>
      <c r="L259" s="85"/>
      <c r="M259" s="85"/>
      <c r="N259" s="85"/>
      <c r="O259" s="85"/>
      <c r="P259" s="85"/>
      <c r="Q259" s="85"/>
      <c r="R259" s="85"/>
      <c r="S259" s="85"/>
      <c r="T259" s="85"/>
    </row>
    <row r="260" spans="2:20" ht="21" customHeight="1" x14ac:dyDescent="0.25">
      <c r="B260" s="183" t="s">
        <v>604</v>
      </c>
      <c r="C260" s="183"/>
      <c r="D260" s="183"/>
      <c r="E260" s="183"/>
      <c r="F260" s="183"/>
      <c r="G260" s="85"/>
      <c r="H260" s="85"/>
      <c r="I260" s="184" t="s">
        <v>605</v>
      </c>
      <c r="J260" s="184"/>
      <c r="K260" s="184"/>
      <c r="L260" s="184"/>
      <c r="M260" s="184"/>
      <c r="N260" s="85"/>
      <c r="O260" s="85"/>
      <c r="P260" s="185" t="s">
        <v>606</v>
      </c>
      <c r="Q260" s="185"/>
      <c r="R260" s="185"/>
      <c r="S260" s="185"/>
      <c r="T260" s="185"/>
    </row>
    <row r="261" spans="2:20" x14ac:dyDescent="0.25">
      <c r="B261" s="183"/>
      <c r="C261" s="183"/>
      <c r="D261" s="183"/>
      <c r="E261" s="183"/>
      <c r="F261" s="183"/>
      <c r="G261" s="85"/>
      <c r="H261" s="85"/>
      <c r="I261" s="184"/>
      <c r="J261" s="184"/>
      <c r="K261" s="184"/>
      <c r="L261" s="184"/>
      <c r="M261" s="184"/>
      <c r="N261" s="85"/>
      <c r="O261" s="85"/>
      <c r="P261" s="185"/>
      <c r="Q261" s="185"/>
      <c r="R261" s="185"/>
      <c r="S261" s="185"/>
      <c r="T261" s="185"/>
    </row>
    <row r="262" spans="2:20" x14ac:dyDescent="0.25">
      <c r="B262" s="183"/>
      <c r="C262" s="183"/>
      <c r="D262" s="183"/>
      <c r="E262" s="183"/>
      <c r="F262" s="183"/>
      <c r="G262" s="85"/>
      <c r="H262" s="85"/>
      <c r="I262" s="184"/>
      <c r="J262" s="184"/>
      <c r="K262" s="184"/>
      <c r="L262" s="184"/>
      <c r="M262" s="184"/>
      <c r="N262" s="85"/>
      <c r="O262" s="85"/>
      <c r="P262" s="185"/>
      <c r="Q262" s="185"/>
      <c r="R262" s="185"/>
      <c r="S262" s="185"/>
      <c r="T262" s="185"/>
    </row>
    <row r="263" spans="2:20" x14ac:dyDescent="0.25">
      <c r="B263" s="93"/>
      <c r="C263" s="93"/>
      <c r="D263" s="93"/>
      <c r="E263" s="93"/>
      <c r="F263" s="93"/>
      <c r="G263" s="85"/>
      <c r="H263" s="85"/>
      <c r="I263" s="93"/>
      <c r="J263" s="93"/>
      <c r="K263" s="93"/>
      <c r="L263" s="93"/>
      <c r="M263" s="93"/>
      <c r="N263" s="85"/>
      <c r="O263" s="85"/>
      <c r="P263" s="93"/>
      <c r="Q263" s="93"/>
      <c r="R263" s="93"/>
      <c r="S263" s="93"/>
      <c r="T263" s="93"/>
    </row>
    <row r="264" spans="2:20" x14ac:dyDescent="0.25">
      <c r="B264" s="93"/>
      <c r="C264" s="93"/>
      <c r="D264" s="93"/>
      <c r="E264" s="93"/>
      <c r="F264" s="93"/>
      <c r="G264" s="85"/>
      <c r="H264" s="85"/>
      <c r="I264" s="93"/>
      <c r="J264" s="93"/>
      <c r="K264" s="93"/>
      <c r="L264" s="93"/>
      <c r="M264" s="93"/>
      <c r="N264" s="85"/>
      <c r="O264" s="85"/>
      <c r="P264" s="93"/>
      <c r="Q264" s="93"/>
      <c r="R264" s="93"/>
      <c r="S264" s="93"/>
      <c r="T264" s="93"/>
    </row>
    <row r="265" spans="2:20" x14ac:dyDescent="0.25">
      <c r="B265" s="182" t="s">
        <v>607</v>
      </c>
      <c r="C265" s="182"/>
      <c r="D265" s="182"/>
      <c r="E265" s="182"/>
      <c r="F265" s="182"/>
      <c r="G265" s="85"/>
      <c r="H265" s="85"/>
      <c r="I265" s="182" t="s">
        <v>610</v>
      </c>
      <c r="J265" s="182"/>
      <c r="K265" s="182"/>
      <c r="L265" s="182"/>
      <c r="M265" s="182"/>
      <c r="N265" s="85"/>
      <c r="O265" s="85"/>
      <c r="P265" s="182" t="s">
        <v>613</v>
      </c>
      <c r="Q265" s="182"/>
      <c r="R265" s="182"/>
      <c r="S265" s="182"/>
      <c r="T265" s="182"/>
    </row>
    <row r="266" spans="2:20" x14ac:dyDescent="0.25">
      <c r="B266" s="182"/>
      <c r="C266" s="182"/>
      <c r="D266" s="182"/>
      <c r="E266" s="182"/>
      <c r="F266" s="182"/>
      <c r="G266" s="85"/>
      <c r="H266" s="85"/>
      <c r="I266" s="182"/>
      <c r="J266" s="182"/>
      <c r="K266" s="182"/>
      <c r="L266" s="182"/>
      <c r="M266" s="182"/>
      <c r="N266" s="85"/>
      <c r="O266" s="85"/>
      <c r="P266" s="182"/>
      <c r="Q266" s="182"/>
      <c r="R266" s="182"/>
      <c r="S266" s="182"/>
      <c r="T266" s="182"/>
    </row>
    <row r="267" spans="2:20" x14ac:dyDescent="0.25">
      <c r="B267" s="158"/>
      <c r="C267" s="158"/>
      <c r="D267" s="158"/>
      <c r="E267" s="158"/>
      <c r="F267" s="158"/>
      <c r="G267" s="85"/>
      <c r="H267" s="85"/>
      <c r="I267" s="158"/>
      <c r="J267" s="158"/>
      <c r="K267" s="158"/>
      <c r="L267" s="158"/>
      <c r="M267" s="158"/>
      <c r="N267" s="85"/>
      <c r="O267" s="85"/>
      <c r="P267" s="158"/>
      <c r="Q267" s="158"/>
      <c r="R267" s="158"/>
      <c r="S267" s="158"/>
      <c r="T267" s="158"/>
    </row>
    <row r="268" spans="2:20" x14ac:dyDescent="0.25">
      <c r="B268" s="158"/>
      <c r="C268" s="158"/>
      <c r="D268" s="158"/>
      <c r="E268" s="158"/>
      <c r="F268" s="158"/>
      <c r="G268" s="85"/>
      <c r="H268" s="85"/>
      <c r="I268" s="158"/>
      <c r="J268" s="158"/>
      <c r="K268" s="158"/>
      <c r="L268" s="158"/>
      <c r="M268" s="158"/>
      <c r="N268" s="85"/>
      <c r="O268" s="85"/>
      <c r="P268" s="158"/>
      <c r="Q268" s="158"/>
      <c r="R268" s="158"/>
      <c r="S268" s="158"/>
      <c r="T268" s="158"/>
    </row>
    <row r="269" spans="2:20" x14ac:dyDescent="0.25">
      <c r="B269" s="182" t="s">
        <v>608</v>
      </c>
      <c r="C269" s="182"/>
      <c r="D269" s="182"/>
      <c r="E269" s="182"/>
      <c r="F269" s="182"/>
      <c r="G269" s="85"/>
      <c r="H269" s="85"/>
      <c r="I269" s="182" t="s">
        <v>612</v>
      </c>
      <c r="J269" s="182"/>
      <c r="K269" s="182"/>
      <c r="L269" s="182"/>
      <c r="M269" s="182"/>
      <c r="N269" s="85"/>
      <c r="O269" s="85"/>
      <c r="P269" s="182" t="s">
        <v>614</v>
      </c>
      <c r="Q269" s="182"/>
      <c r="R269" s="182"/>
      <c r="S269" s="182"/>
      <c r="T269" s="182"/>
    </row>
    <row r="270" spans="2:20" x14ac:dyDescent="0.25">
      <c r="B270" s="182"/>
      <c r="C270" s="182"/>
      <c r="D270" s="182"/>
      <c r="E270" s="182"/>
      <c r="F270" s="182"/>
      <c r="G270" s="85"/>
      <c r="H270" s="85"/>
      <c r="I270" s="182"/>
      <c r="J270" s="182"/>
      <c r="K270" s="182"/>
      <c r="L270" s="182"/>
      <c r="M270" s="182"/>
      <c r="N270" s="85"/>
      <c r="O270" s="85"/>
      <c r="P270" s="182"/>
      <c r="Q270" s="182"/>
      <c r="R270" s="182"/>
      <c r="S270" s="182"/>
      <c r="T270" s="182"/>
    </row>
    <row r="271" spans="2:20" x14ac:dyDescent="0.25">
      <c r="B271" s="158"/>
      <c r="C271" s="158"/>
      <c r="D271" s="158"/>
      <c r="E271" s="158"/>
      <c r="F271" s="158"/>
      <c r="G271" s="85"/>
      <c r="H271" s="85"/>
      <c r="I271" s="158"/>
      <c r="J271" s="158"/>
      <c r="K271" s="158"/>
      <c r="L271" s="158"/>
      <c r="M271" s="158"/>
      <c r="N271" s="85"/>
      <c r="O271" s="85"/>
      <c r="P271" s="158"/>
      <c r="Q271" s="158"/>
      <c r="R271" s="158"/>
      <c r="S271" s="158"/>
      <c r="T271" s="158"/>
    </row>
    <row r="272" spans="2:20" x14ac:dyDescent="0.25">
      <c r="B272" s="158"/>
      <c r="C272" s="158"/>
      <c r="D272" s="158"/>
      <c r="E272" s="158"/>
      <c r="F272" s="158"/>
      <c r="G272" s="85"/>
      <c r="H272" s="85"/>
      <c r="I272" s="158"/>
      <c r="J272" s="158"/>
      <c r="K272" s="158"/>
      <c r="L272" s="158"/>
      <c r="M272" s="158"/>
      <c r="N272" s="85"/>
      <c r="O272" s="85"/>
      <c r="P272" s="158"/>
      <c r="Q272" s="158"/>
      <c r="R272" s="158"/>
      <c r="S272" s="158"/>
      <c r="T272" s="158"/>
    </row>
    <row r="273" spans="2:20" x14ac:dyDescent="0.25">
      <c r="B273" s="158"/>
      <c r="C273" s="158"/>
      <c r="D273" s="158"/>
      <c r="E273" s="158"/>
      <c r="F273" s="158"/>
      <c r="G273" s="85"/>
      <c r="H273" s="85"/>
      <c r="I273" s="158"/>
      <c r="J273" s="158"/>
      <c r="K273" s="158"/>
      <c r="L273" s="158"/>
      <c r="M273" s="158"/>
      <c r="N273" s="85"/>
      <c r="O273" s="85"/>
      <c r="P273" s="158"/>
      <c r="Q273" s="158"/>
      <c r="R273" s="158"/>
      <c r="S273" s="158"/>
      <c r="T273" s="158"/>
    </row>
    <row r="274" spans="2:20" x14ac:dyDescent="0.25">
      <c r="B274" s="182" t="s">
        <v>609</v>
      </c>
      <c r="C274" s="182"/>
      <c r="D274" s="182"/>
      <c r="E274" s="182"/>
      <c r="F274" s="182"/>
      <c r="G274" s="85"/>
      <c r="H274" s="85"/>
      <c r="I274" s="182" t="s">
        <v>611</v>
      </c>
      <c r="J274" s="182"/>
      <c r="K274" s="182"/>
      <c r="L274" s="182"/>
      <c r="M274" s="182"/>
      <c r="N274" s="85"/>
      <c r="O274" s="85"/>
      <c r="P274" s="182" t="s">
        <v>615</v>
      </c>
      <c r="Q274" s="182"/>
      <c r="R274" s="182"/>
      <c r="S274" s="182"/>
      <c r="T274" s="182"/>
    </row>
    <row r="275" spans="2:20" x14ac:dyDescent="0.25">
      <c r="B275" s="182"/>
      <c r="C275" s="182"/>
      <c r="D275" s="182"/>
      <c r="E275" s="182"/>
      <c r="F275" s="182"/>
      <c r="G275" s="85"/>
      <c r="H275" s="85"/>
      <c r="I275" s="182"/>
      <c r="J275" s="182"/>
      <c r="K275" s="182"/>
      <c r="L275" s="182"/>
      <c r="M275" s="182"/>
      <c r="N275" s="85"/>
      <c r="O275" s="85"/>
      <c r="P275" s="182"/>
      <c r="Q275" s="182"/>
      <c r="R275" s="182"/>
      <c r="S275" s="182"/>
      <c r="T275" s="182"/>
    </row>
    <row r="276" spans="2:20" x14ac:dyDescent="0.25">
      <c r="B276" s="93"/>
      <c r="C276" s="93"/>
      <c r="D276" s="93"/>
      <c r="E276" s="93"/>
      <c r="F276" s="93"/>
      <c r="G276" s="85"/>
      <c r="H276" s="85"/>
      <c r="I276" s="93"/>
      <c r="J276" s="93"/>
      <c r="K276" s="93"/>
      <c r="L276" s="93"/>
      <c r="M276" s="93"/>
      <c r="N276" s="85"/>
      <c r="O276" s="85"/>
      <c r="P276" s="93"/>
      <c r="Q276" s="93"/>
      <c r="R276" s="93"/>
      <c r="S276" s="93"/>
      <c r="T276" s="93"/>
    </row>
    <row r="277" spans="2:20" x14ac:dyDescent="0.25">
      <c r="B277" s="93"/>
      <c r="C277" s="93"/>
      <c r="D277" s="93"/>
      <c r="E277" s="93"/>
      <c r="F277" s="93"/>
      <c r="G277" s="85"/>
      <c r="H277" s="85"/>
      <c r="I277" s="93"/>
      <c r="J277" s="93"/>
      <c r="K277" s="93"/>
      <c r="L277" s="93"/>
      <c r="M277" s="93"/>
      <c r="N277" s="85"/>
      <c r="O277" s="85"/>
      <c r="P277" s="93"/>
      <c r="Q277" s="93"/>
      <c r="R277" s="93"/>
      <c r="S277" s="93"/>
      <c r="T277" s="93"/>
    </row>
    <row r="278" spans="2:20" ht="15.75" thickBot="1" x14ac:dyDescent="0.3">
      <c r="B278" s="113"/>
      <c r="C278" s="113"/>
      <c r="D278" s="85"/>
      <c r="E278" s="113"/>
      <c r="F278" s="113"/>
      <c r="G278" s="113"/>
      <c r="H278" s="113"/>
      <c r="I278" s="113"/>
      <c r="J278" s="85"/>
      <c r="K278" s="85"/>
      <c r="L278" s="113"/>
      <c r="M278" s="85"/>
      <c r="N278" s="113"/>
      <c r="O278" s="85"/>
      <c r="P278" s="85"/>
      <c r="Q278" s="85"/>
      <c r="R278" s="85"/>
      <c r="S278" s="113"/>
      <c r="T278" s="85"/>
    </row>
    <row r="279" spans="2:20" ht="15.75" thickTop="1" x14ac:dyDescent="0.25">
      <c r="B279" s="85"/>
      <c r="C279" s="85"/>
      <c r="D279" s="125"/>
      <c r="E279" s="85"/>
      <c r="F279" s="85"/>
      <c r="G279" s="85"/>
      <c r="H279" s="85"/>
      <c r="I279" s="85"/>
      <c r="J279" s="125"/>
      <c r="K279" s="125"/>
      <c r="L279" s="85"/>
      <c r="M279" s="125"/>
      <c r="N279" s="85"/>
      <c r="O279" s="125"/>
      <c r="P279" s="125"/>
      <c r="Q279" s="125"/>
      <c r="R279" s="125"/>
      <c r="S279" s="85"/>
      <c r="T279" s="125"/>
    </row>
    <row r="280" spans="2:20" ht="18.75" x14ac:dyDescent="0.3">
      <c r="B280" s="97" t="s">
        <v>616</v>
      </c>
      <c r="C280" s="85"/>
      <c r="D280" s="85"/>
      <c r="E280" s="85"/>
      <c r="F280" s="85"/>
      <c r="G280" s="85"/>
      <c r="H280" s="85"/>
      <c r="I280" s="85"/>
      <c r="J280" s="85"/>
      <c r="K280" s="85"/>
      <c r="L280" s="85"/>
      <c r="M280" s="85"/>
      <c r="N280" s="85"/>
      <c r="O280" s="85"/>
      <c r="P280" s="85"/>
      <c r="Q280" s="85"/>
      <c r="R280" s="85"/>
      <c r="S280" s="85"/>
      <c r="T280" s="85"/>
    </row>
    <row r="281" spans="2:20" ht="33" x14ac:dyDescent="0.45">
      <c r="B281" s="129" t="s">
        <v>617</v>
      </c>
      <c r="C281" s="85"/>
      <c r="D281" s="85"/>
      <c r="E281" s="85"/>
      <c r="F281" s="85"/>
      <c r="G281" s="85"/>
      <c r="H281" s="85"/>
      <c r="I281" s="85"/>
      <c r="J281" s="85"/>
      <c r="K281" s="85"/>
      <c r="L281" s="85"/>
      <c r="M281" s="85"/>
      <c r="N281" s="85"/>
      <c r="O281" s="85"/>
      <c r="P281" s="85"/>
      <c r="Q281" s="85"/>
      <c r="R281" s="85"/>
      <c r="S281" s="85"/>
      <c r="T281" s="85"/>
    </row>
    <row r="282" spans="2:20" x14ac:dyDescent="0.25">
      <c r="B282" s="85"/>
      <c r="C282" s="85"/>
      <c r="D282" s="85"/>
      <c r="E282" s="85"/>
      <c r="F282" s="85"/>
      <c r="G282" s="85"/>
      <c r="H282" s="85"/>
      <c r="I282" s="85"/>
      <c r="J282" s="85"/>
      <c r="K282" s="85"/>
      <c r="L282" s="85"/>
      <c r="M282" s="85"/>
      <c r="N282" s="85"/>
      <c r="O282" s="85"/>
      <c r="P282" s="85"/>
      <c r="Q282" s="85"/>
      <c r="R282" s="85"/>
      <c r="S282" s="85"/>
      <c r="T282" s="85"/>
    </row>
    <row r="283" spans="2:20" x14ac:dyDescent="0.25">
      <c r="B283" s="93"/>
      <c r="C283" s="93"/>
      <c r="D283" s="93"/>
      <c r="E283" s="93"/>
      <c r="F283" s="85"/>
      <c r="G283" s="93"/>
      <c r="H283" s="93"/>
      <c r="I283" s="93"/>
      <c r="J283" s="93"/>
      <c r="K283" s="85"/>
      <c r="L283" s="93"/>
      <c r="M283" s="93"/>
      <c r="N283" s="93"/>
      <c r="O283" s="93"/>
      <c r="P283" s="85"/>
      <c r="Q283" s="93"/>
      <c r="R283" s="93"/>
      <c r="S283" s="93"/>
      <c r="T283" s="93"/>
    </row>
    <row r="284" spans="2:20" x14ac:dyDescent="0.25">
      <c r="B284" s="93"/>
      <c r="C284" s="177" t="s">
        <v>618</v>
      </c>
      <c r="D284" s="177"/>
      <c r="E284" s="93"/>
      <c r="F284" s="85"/>
      <c r="G284" s="93"/>
      <c r="H284" s="178" t="s">
        <v>619</v>
      </c>
      <c r="I284" s="178"/>
      <c r="J284" s="93"/>
      <c r="K284" s="85"/>
      <c r="L284" s="93"/>
      <c r="M284" s="179" t="s">
        <v>620</v>
      </c>
      <c r="N284" s="179"/>
      <c r="O284" s="93"/>
      <c r="P284" s="85"/>
      <c r="Q284" s="93"/>
      <c r="R284" s="180" t="s">
        <v>621</v>
      </c>
      <c r="S284" s="180"/>
      <c r="T284" s="93"/>
    </row>
    <row r="285" spans="2:20" x14ac:dyDescent="0.25">
      <c r="B285" s="93"/>
      <c r="C285" s="177"/>
      <c r="D285" s="177"/>
      <c r="E285" s="93"/>
      <c r="F285" s="85"/>
      <c r="G285" s="93"/>
      <c r="H285" s="178"/>
      <c r="I285" s="178"/>
      <c r="J285" s="93"/>
      <c r="K285" s="85"/>
      <c r="L285" s="93"/>
      <c r="M285" s="179"/>
      <c r="N285" s="179"/>
      <c r="O285" s="93"/>
      <c r="P285" s="85"/>
      <c r="Q285" s="93"/>
      <c r="R285" s="180"/>
      <c r="S285" s="180"/>
      <c r="T285" s="93"/>
    </row>
    <row r="286" spans="2:20" x14ac:dyDescent="0.25">
      <c r="B286" s="93"/>
      <c r="C286" s="177"/>
      <c r="D286" s="177"/>
      <c r="E286" s="93"/>
      <c r="F286" s="85"/>
      <c r="G286" s="93"/>
      <c r="H286" s="178"/>
      <c r="I286" s="178"/>
      <c r="J286" s="93"/>
      <c r="K286" s="85"/>
      <c r="L286" s="93"/>
      <c r="M286" s="179"/>
      <c r="N286" s="179"/>
      <c r="O286" s="93"/>
      <c r="P286" s="85"/>
      <c r="Q286" s="93"/>
      <c r="R286" s="180"/>
      <c r="S286" s="180"/>
      <c r="T286" s="93"/>
    </row>
    <row r="287" spans="2:20" ht="19.5" customHeight="1" x14ac:dyDescent="0.25">
      <c r="B287" s="93"/>
      <c r="C287" s="177"/>
      <c r="D287" s="177"/>
      <c r="E287" s="93"/>
      <c r="F287" s="85"/>
      <c r="G287" s="93"/>
      <c r="H287" s="178"/>
      <c r="I287" s="178"/>
      <c r="J287" s="93"/>
      <c r="K287" s="85"/>
      <c r="L287" s="93"/>
      <c r="M287" s="179"/>
      <c r="N287" s="179"/>
      <c r="O287" s="93"/>
      <c r="P287" s="85"/>
      <c r="Q287" s="93"/>
      <c r="R287" s="180"/>
      <c r="S287" s="180"/>
      <c r="T287" s="93"/>
    </row>
    <row r="288" spans="2:20" x14ac:dyDescent="0.25">
      <c r="B288" s="93"/>
      <c r="C288" s="93"/>
      <c r="D288" s="93"/>
      <c r="E288" s="93"/>
      <c r="F288" s="85"/>
      <c r="G288" s="93"/>
      <c r="H288" s="93"/>
      <c r="I288" s="93"/>
      <c r="J288" s="93"/>
      <c r="K288" s="85"/>
      <c r="L288" s="93"/>
      <c r="M288" s="93"/>
      <c r="N288" s="93"/>
      <c r="O288" s="93"/>
      <c r="P288" s="85"/>
      <c r="Q288" s="93"/>
      <c r="R288" s="93"/>
      <c r="S288" s="93"/>
      <c r="T288" s="93"/>
    </row>
    <row r="289" spans="2:20" x14ac:dyDescent="0.25">
      <c r="B289" s="93"/>
      <c r="C289" s="93"/>
      <c r="D289" s="93"/>
      <c r="E289" s="93"/>
      <c r="F289" s="85"/>
      <c r="G289" s="93"/>
      <c r="H289" s="93"/>
      <c r="I289" s="93"/>
      <c r="J289" s="93"/>
      <c r="K289" s="85"/>
      <c r="L289" s="93"/>
      <c r="M289" s="93"/>
      <c r="N289" s="93"/>
      <c r="O289" s="93"/>
      <c r="P289" s="85"/>
      <c r="Q289" s="93"/>
      <c r="R289" s="93"/>
      <c r="S289" s="93"/>
      <c r="T289" s="93"/>
    </row>
    <row r="290" spans="2:20" x14ac:dyDescent="0.25">
      <c r="B290" s="181" t="s">
        <v>622</v>
      </c>
      <c r="C290" s="181"/>
      <c r="D290" s="181"/>
      <c r="E290" s="181"/>
      <c r="F290" s="85"/>
      <c r="G290" s="181" t="s">
        <v>623</v>
      </c>
      <c r="H290" s="181"/>
      <c r="I290" s="181"/>
      <c r="J290" s="181"/>
      <c r="K290" s="85"/>
      <c r="L290" s="181" t="s">
        <v>624</v>
      </c>
      <c r="M290" s="181"/>
      <c r="N290" s="181"/>
      <c r="O290" s="181"/>
      <c r="P290" s="85"/>
      <c r="Q290" s="93"/>
      <c r="R290" s="93"/>
      <c r="S290" s="93"/>
      <c r="T290" s="93"/>
    </row>
    <row r="291" spans="2:20" x14ac:dyDescent="0.25">
      <c r="B291" s="181"/>
      <c r="C291" s="181"/>
      <c r="D291" s="181"/>
      <c r="E291" s="181"/>
      <c r="F291" s="85"/>
      <c r="G291" s="181"/>
      <c r="H291" s="181"/>
      <c r="I291" s="181"/>
      <c r="J291" s="181"/>
      <c r="K291" s="85"/>
      <c r="L291" s="181"/>
      <c r="M291" s="181"/>
      <c r="N291" s="181"/>
      <c r="O291" s="181"/>
      <c r="P291" s="85"/>
      <c r="Q291" s="181" t="s">
        <v>625</v>
      </c>
      <c r="R291" s="181"/>
      <c r="S291" s="181"/>
      <c r="T291" s="181"/>
    </row>
    <row r="292" spans="2:20" x14ac:dyDescent="0.25">
      <c r="B292" s="181"/>
      <c r="C292" s="181"/>
      <c r="D292" s="181"/>
      <c r="E292" s="181"/>
      <c r="F292" s="85"/>
      <c r="G292" s="181"/>
      <c r="H292" s="181"/>
      <c r="I292" s="181"/>
      <c r="J292" s="181"/>
      <c r="K292" s="85"/>
      <c r="L292" s="181"/>
      <c r="M292" s="181"/>
      <c r="N292" s="181"/>
      <c r="O292" s="181"/>
      <c r="P292" s="85"/>
      <c r="Q292" s="181"/>
      <c r="R292" s="181"/>
      <c r="S292" s="181"/>
      <c r="T292" s="181"/>
    </row>
    <row r="293" spans="2:20" x14ac:dyDescent="0.25">
      <c r="B293" s="181"/>
      <c r="C293" s="181"/>
      <c r="D293" s="181"/>
      <c r="E293" s="181"/>
      <c r="F293" s="85"/>
      <c r="G293" s="181"/>
      <c r="H293" s="181"/>
      <c r="I293" s="181"/>
      <c r="J293" s="181"/>
      <c r="K293" s="85"/>
      <c r="L293" s="181"/>
      <c r="M293" s="181"/>
      <c r="N293" s="181"/>
      <c r="O293" s="181"/>
      <c r="P293" s="85"/>
      <c r="Q293" s="181"/>
      <c r="R293" s="181"/>
      <c r="S293" s="181"/>
      <c r="T293" s="181"/>
    </row>
    <row r="294" spans="2:20" x14ac:dyDescent="0.25">
      <c r="B294" s="181"/>
      <c r="C294" s="181"/>
      <c r="D294" s="181"/>
      <c r="E294" s="181"/>
      <c r="F294" s="85"/>
      <c r="G294" s="181"/>
      <c r="H294" s="181"/>
      <c r="I294" s="181"/>
      <c r="J294" s="181"/>
      <c r="K294" s="85"/>
      <c r="L294" s="181"/>
      <c r="M294" s="181"/>
      <c r="N294" s="181"/>
      <c r="O294" s="181"/>
      <c r="P294" s="85"/>
      <c r="Q294" s="181"/>
      <c r="R294" s="181"/>
      <c r="S294" s="181"/>
      <c r="T294" s="181"/>
    </row>
    <row r="295" spans="2:20" x14ac:dyDescent="0.25">
      <c r="B295" s="93"/>
      <c r="C295" s="93"/>
      <c r="D295" s="93"/>
      <c r="E295" s="93"/>
      <c r="F295" s="85"/>
      <c r="G295" s="93"/>
      <c r="H295" s="93"/>
      <c r="I295" s="93"/>
      <c r="J295" s="93"/>
      <c r="K295" s="85"/>
      <c r="L295" s="93"/>
      <c r="M295" s="93"/>
      <c r="N295" s="93"/>
      <c r="O295" s="93"/>
      <c r="P295" s="85"/>
      <c r="Q295" s="93"/>
      <c r="R295" s="93"/>
      <c r="S295" s="93"/>
      <c r="T295" s="93"/>
    </row>
    <row r="296" spans="2:20" x14ac:dyDescent="0.25">
      <c r="B296" s="93"/>
      <c r="C296" s="93"/>
      <c r="D296" s="93"/>
      <c r="E296" s="93"/>
      <c r="F296" s="85"/>
      <c r="G296" s="93"/>
      <c r="H296" s="93"/>
      <c r="I296" s="93"/>
      <c r="J296" s="93"/>
      <c r="K296" s="85"/>
      <c r="L296" s="93"/>
      <c r="M296" s="93"/>
      <c r="N296" s="93"/>
      <c r="O296" s="93"/>
      <c r="P296" s="85"/>
      <c r="Q296" s="93"/>
      <c r="R296" s="93"/>
      <c r="S296" s="93"/>
      <c r="T296" s="93"/>
    </row>
    <row r="297" spans="2:20" x14ac:dyDescent="0.25">
      <c r="B297" s="93"/>
      <c r="C297" s="93"/>
      <c r="D297" s="93"/>
      <c r="E297" s="93"/>
      <c r="F297" s="85"/>
      <c r="G297" s="93"/>
      <c r="H297" s="93"/>
      <c r="I297" s="93"/>
      <c r="J297" s="93"/>
      <c r="K297" s="85"/>
      <c r="L297" s="93"/>
      <c r="M297" s="93"/>
      <c r="N297" s="93"/>
      <c r="O297" s="93"/>
      <c r="P297" s="85"/>
      <c r="Q297" s="93"/>
      <c r="R297" s="93"/>
      <c r="S297" s="93"/>
      <c r="T297" s="93"/>
    </row>
    <row r="298" spans="2:20" ht="15.75" thickBot="1" x14ac:dyDescent="0.3">
      <c r="B298" s="113"/>
      <c r="C298" s="113"/>
      <c r="D298" s="85"/>
      <c r="E298" s="85"/>
      <c r="F298" s="85"/>
      <c r="G298" s="85"/>
      <c r="H298" s="113"/>
      <c r="I298" s="113"/>
      <c r="J298" s="113"/>
      <c r="K298" s="85"/>
      <c r="L298" s="85"/>
      <c r="M298" s="85"/>
      <c r="N298" s="113"/>
      <c r="O298" s="113"/>
      <c r="P298" s="85"/>
      <c r="Q298" s="113"/>
      <c r="R298" s="113"/>
      <c r="S298" s="85"/>
      <c r="T298" s="85"/>
    </row>
    <row r="299" spans="2:20" ht="15.75" thickTop="1" x14ac:dyDescent="0.25">
      <c r="B299" s="85"/>
      <c r="C299" s="85"/>
      <c r="D299" s="125"/>
      <c r="E299" s="125"/>
      <c r="F299" s="125"/>
      <c r="G299" s="125"/>
      <c r="H299" s="85"/>
      <c r="I299" s="85"/>
      <c r="J299" s="85"/>
      <c r="K299" s="125"/>
      <c r="L299" s="125"/>
      <c r="M299" s="125"/>
      <c r="N299" s="85"/>
      <c r="O299" s="85"/>
      <c r="P299" s="125"/>
      <c r="Q299" s="85"/>
      <c r="R299" s="85"/>
      <c r="S299" s="125"/>
      <c r="T299" s="125"/>
    </row>
    <row r="300" spans="2:20" x14ac:dyDescent="0.25">
      <c r="B300" s="96"/>
      <c r="C300" s="96"/>
      <c r="D300" s="96"/>
      <c r="E300" s="96"/>
      <c r="F300" s="96"/>
      <c r="G300" s="96"/>
      <c r="H300" s="96"/>
      <c r="I300" s="96"/>
      <c r="J300" s="96"/>
      <c r="K300" s="96"/>
      <c r="L300" s="96"/>
      <c r="M300" s="96"/>
      <c r="N300" s="96"/>
      <c r="O300" s="96"/>
      <c r="P300" s="96"/>
      <c r="Q300" s="96"/>
      <c r="R300" s="96"/>
      <c r="S300" s="96"/>
      <c r="T300" s="96"/>
    </row>
    <row r="301" spans="2:20" x14ac:dyDescent="0.25">
      <c r="B301" s="96"/>
      <c r="C301" s="96"/>
      <c r="D301" s="96"/>
      <c r="E301" s="96"/>
      <c r="F301" s="96"/>
      <c r="G301" s="96"/>
      <c r="H301" s="96"/>
      <c r="I301" s="96"/>
      <c r="J301" s="96"/>
      <c r="K301" s="96"/>
      <c r="L301" s="96"/>
      <c r="M301" s="96"/>
      <c r="N301" s="96"/>
      <c r="O301" s="96"/>
      <c r="P301" s="96"/>
      <c r="Q301" s="96"/>
      <c r="R301" s="96"/>
      <c r="S301" s="96"/>
      <c r="T301" s="96"/>
    </row>
    <row r="302" spans="2:20" x14ac:dyDescent="0.25">
      <c r="B302" s="96"/>
      <c r="C302" s="96"/>
      <c r="D302" s="96"/>
      <c r="E302" s="96"/>
      <c r="F302" s="96"/>
      <c r="G302" s="96"/>
      <c r="H302" s="96"/>
      <c r="I302" s="96"/>
      <c r="J302" s="96"/>
      <c r="K302" s="96"/>
      <c r="L302" s="96"/>
      <c r="M302" s="96"/>
      <c r="N302" s="96"/>
      <c r="O302" s="96"/>
      <c r="P302" s="96"/>
      <c r="Q302" s="96"/>
      <c r="R302" s="96"/>
      <c r="S302" s="96"/>
      <c r="T302" s="96"/>
    </row>
    <row r="303" spans="2:20" x14ac:dyDescent="0.25">
      <c r="B303" s="96"/>
      <c r="C303" s="96"/>
      <c r="D303" s="96"/>
      <c r="E303" s="96"/>
      <c r="F303" s="96"/>
      <c r="G303" s="96"/>
      <c r="H303" s="96"/>
      <c r="I303" s="96"/>
      <c r="J303" s="96"/>
      <c r="K303" s="96"/>
      <c r="L303" s="96"/>
      <c r="M303" s="96"/>
      <c r="N303" s="96"/>
      <c r="O303" s="96"/>
      <c r="P303" s="96"/>
      <c r="Q303" s="96"/>
      <c r="R303" s="96"/>
      <c r="S303" s="96"/>
      <c r="T303" s="96"/>
    </row>
    <row r="304" spans="2:20" x14ac:dyDescent="0.25">
      <c r="B304" s="96"/>
      <c r="C304" s="96"/>
      <c r="D304" s="96"/>
      <c r="E304" s="96"/>
      <c r="F304" s="96"/>
      <c r="G304" s="96"/>
      <c r="H304" s="96"/>
      <c r="I304" s="96"/>
      <c r="J304" s="96"/>
      <c r="K304" s="96"/>
      <c r="L304" s="96"/>
      <c r="M304" s="96"/>
      <c r="N304" s="96"/>
      <c r="O304" s="96"/>
      <c r="P304" s="96"/>
      <c r="Q304" s="96"/>
      <c r="R304" s="96"/>
      <c r="S304" s="96"/>
      <c r="T304" s="96"/>
    </row>
    <row r="305" spans="2:20" ht="26.25" x14ac:dyDescent="0.4">
      <c r="B305" s="96"/>
      <c r="C305" s="165" t="s">
        <v>626</v>
      </c>
      <c r="D305" s="96"/>
      <c r="E305" s="96"/>
      <c r="F305" s="96"/>
      <c r="G305" s="96"/>
      <c r="H305" s="96"/>
      <c r="I305" s="96"/>
      <c r="J305" s="96"/>
      <c r="K305" s="96"/>
      <c r="L305" s="96"/>
      <c r="M305" s="96"/>
      <c r="N305" s="96"/>
      <c r="O305" s="96"/>
      <c r="P305" s="96"/>
      <c r="Q305" s="96"/>
      <c r="R305" s="96"/>
      <c r="S305" s="96"/>
      <c r="T305" s="96"/>
    </row>
    <row r="306" spans="2:20" x14ac:dyDescent="0.25">
      <c r="B306" s="96"/>
      <c r="C306" s="96"/>
      <c r="D306" s="96"/>
      <c r="E306" s="96"/>
      <c r="F306" s="96"/>
      <c r="G306" s="96"/>
      <c r="H306" s="96"/>
      <c r="I306" s="96"/>
      <c r="J306" s="96"/>
      <c r="K306" s="96"/>
      <c r="L306" s="96"/>
      <c r="M306" s="96"/>
      <c r="N306" s="96"/>
      <c r="O306" s="96"/>
      <c r="P306" s="96"/>
      <c r="Q306" s="96"/>
      <c r="R306" s="96"/>
      <c r="S306" s="96"/>
      <c r="T306" s="96"/>
    </row>
    <row r="307" spans="2:20" x14ac:dyDescent="0.25">
      <c r="B307" s="96"/>
      <c r="C307" s="96"/>
      <c r="D307" s="96"/>
      <c r="E307" s="96"/>
      <c r="F307" s="96"/>
      <c r="G307" s="96"/>
      <c r="H307" s="96"/>
      <c r="I307" s="96"/>
      <c r="J307" s="96"/>
      <c r="K307" s="96"/>
      <c r="L307" s="96"/>
      <c r="M307" s="96"/>
      <c r="N307" s="96"/>
      <c r="O307" s="96"/>
      <c r="P307" s="96"/>
      <c r="Q307" s="96"/>
      <c r="R307" s="96"/>
      <c r="S307" s="96"/>
      <c r="T307" s="96"/>
    </row>
    <row r="308" spans="2:20" x14ac:dyDescent="0.25">
      <c r="B308" s="96"/>
      <c r="C308" s="96"/>
      <c r="D308" s="96"/>
      <c r="E308" s="96"/>
      <c r="F308" s="96"/>
      <c r="G308" s="96"/>
      <c r="H308" s="96"/>
      <c r="I308" s="96"/>
      <c r="J308" s="96"/>
      <c r="K308" s="96"/>
      <c r="L308" s="96"/>
      <c r="M308" s="96"/>
      <c r="N308" s="96"/>
      <c r="O308" s="96"/>
      <c r="P308" s="96"/>
      <c r="Q308" s="96"/>
      <c r="R308" s="96"/>
      <c r="S308" s="96"/>
      <c r="T308" s="96"/>
    </row>
    <row r="309" spans="2:20" ht="15.75" x14ac:dyDescent="0.25">
      <c r="B309" s="96"/>
      <c r="C309" s="157" t="s">
        <v>627</v>
      </c>
      <c r="D309" s="96"/>
      <c r="E309" s="96"/>
      <c r="F309" s="96"/>
      <c r="G309" s="96"/>
      <c r="H309" s="96"/>
      <c r="I309" s="96"/>
      <c r="J309" s="96"/>
      <c r="K309" s="96"/>
      <c r="L309" s="96"/>
      <c r="M309" s="96"/>
      <c r="N309" s="96"/>
      <c r="O309" s="96"/>
      <c r="P309" s="96"/>
      <c r="Q309" s="96"/>
      <c r="R309" s="96"/>
      <c r="S309" s="96"/>
      <c r="T309" s="96"/>
    </row>
    <row r="310" spans="2:20" ht="15.75" x14ac:dyDescent="0.25">
      <c r="B310" s="96"/>
      <c r="C310" s="157" t="s">
        <v>628</v>
      </c>
      <c r="D310" s="96"/>
      <c r="E310" s="96"/>
      <c r="F310" s="96"/>
      <c r="G310" s="96"/>
      <c r="H310" s="96"/>
      <c r="I310" s="96"/>
      <c r="J310" s="96"/>
      <c r="K310" s="96"/>
      <c r="L310" s="96"/>
      <c r="M310" s="96"/>
      <c r="N310" s="96"/>
      <c r="O310" s="96"/>
      <c r="P310" s="96"/>
      <c r="Q310" s="96"/>
      <c r="R310" s="96"/>
      <c r="S310" s="96"/>
      <c r="T310" s="96"/>
    </row>
    <row r="311" spans="2:20" x14ac:dyDescent="0.25">
      <c r="B311" s="96"/>
      <c r="C311" s="96"/>
      <c r="D311" s="96"/>
      <c r="E311" s="96"/>
      <c r="F311" s="96"/>
      <c r="G311" s="96"/>
      <c r="H311" s="96"/>
      <c r="I311" s="96"/>
      <c r="J311" s="96"/>
      <c r="K311" s="96"/>
      <c r="L311" s="96"/>
      <c r="M311" s="96"/>
      <c r="N311" s="96"/>
      <c r="O311" s="96"/>
      <c r="P311" s="96"/>
      <c r="Q311" s="96"/>
      <c r="R311" s="96"/>
      <c r="S311" s="96"/>
      <c r="T311" s="96"/>
    </row>
    <row r="312" spans="2:20" x14ac:dyDescent="0.25">
      <c r="B312" s="96"/>
      <c r="C312" s="96"/>
      <c r="D312" s="96"/>
      <c r="E312" s="96"/>
      <c r="F312" s="96"/>
      <c r="G312" s="96"/>
      <c r="H312" s="96"/>
      <c r="I312" s="96"/>
      <c r="J312" s="96"/>
      <c r="K312" s="96"/>
      <c r="L312" s="96"/>
      <c r="M312" s="96"/>
      <c r="N312" s="96"/>
      <c r="O312" s="96"/>
      <c r="P312" s="96"/>
      <c r="Q312" s="96"/>
      <c r="R312" s="96"/>
      <c r="S312" s="96"/>
      <c r="T312" s="96"/>
    </row>
    <row r="313" spans="2:20" x14ac:dyDescent="0.25">
      <c r="B313" s="96"/>
      <c r="C313" s="96"/>
      <c r="D313" s="96"/>
      <c r="E313" s="96"/>
      <c r="F313" s="96"/>
      <c r="G313" s="96"/>
      <c r="H313" s="96"/>
      <c r="I313" s="96"/>
      <c r="J313" s="96"/>
      <c r="K313" s="96"/>
      <c r="L313" s="96"/>
      <c r="M313" s="96"/>
      <c r="N313" s="96"/>
      <c r="O313" s="96"/>
      <c r="P313" s="96"/>
      <c r="Q313" s="96"/>
      <c r="R313" s="96"/>
      <c r="S313" s="96"/>
      <c r="T313" s="96"/>
    </row>
    <row r="314" spans="2:20" x14ac:dyDescent="0.25">
      <c r="B314" s="96"/>
      <c r="C314" s="96"/>
      <c r="D314" s="96"/>
      <c r="E314" s="96"/>
      <c r="F314" s="96"/>
      <c r="G314" s="96"/>
      <c r="H314" s="96"/>
      <c r="I314" s="96"/>
      <c r="J314" s="96"/>
      <c r="K314" s="96"/>
      <c r="L314" s="96"/>
      <c r="M314" s="96"/>
      <c r="N314" s="96"/>
      <c r="O314" s="96"/>
      <c r="P314" s="96"/>
      <c r="Q314" s="96"/>
      <c r="R314" s="96"/>
      <c r="S314" s="96"/>
      <c r="T314" s="96"/>
    </row>
    <row r="315" spans="2:20" x14ac:dyDescent="0.25">
      <c r="B315" s="96"/>
      <c r="C315" s="96"/>
      <c r="D315" s="96"/>
      <c r="E315" s="96"/>
      <c r="F315" s="96"/>
      <c r="G315" s="96"/>
      <c r="H315" s="96"/>
      <c r="I315" s="96"/>
      <c r="J315" s="96"/>
      <c r="K315" s="96"/>
      <c r="L315" s="96"/>
      <c r="M315" s="96"/>
      <c r="N315" s="96"/>
      <c r="O315" s="96"/>
      <c r="P315" s="96"/>
      <c r="Q315" s="96"/>
      <c r="R315" s="96"/>
      <c r="S315" s="96"/>
      <c r="T315" s="96"/>
    </row>
    <row r="316" spans="2:20" x14ac:dyDescent="0.25">
      <c r="B316" s="96"/>
      <c r="C316" s="96"/>
      <c r="D316" s="96"/>
      <c r="E316" s="96"/>
      <c r="F316" s="96"/>
      <c r="G316" s="96"/>
      <c r="H316" s="96"/>
      <c r="I316" s="96"/>
      <c r="J316" s="96"/>
      <c r="K316" s="96"/>
      <c r="L316" s="96"/>
      <c r="M316" s="96"/>
      <c r="N316" s="96"/>
      <c r="O316" s="96"/>
      <c r="P316" s="96"/>
      <c r="Q316" s="96"/>
      <c r="R316" s="96"/>
      <c r="S316" s="96"/>
      <c r="T316" s="96"/>
    </row>
    <row r="317" spans="2:20" x14ac:dyDescent="0.25">
      <c r="B317" s="96"/>
      <c r="C317" s="96"/>
      <c r="D317" s="96"/>
      <c r="E317" s="96"/>
      <c r="F317" s="96"/>
      <c r="G317" s="96"/>
      <c r="H317" s="96"/>
      <c r="I317" s="96"/>
      <c r="J317" s="96"/>
      <c r="K317" s="96"/>
      <c r="L317" s="96"/>
      <c r="M317" s="96"/>
      <c r="N317" s="96"/>
      <c r="O317" s="96"/>
      <c r="P317" s="96"/>
      <c r="Q317" s="96"/>
      <c r="R317" s="96"/>
      <c r="S317" s="96"/>
      <c r="T317" s="96"/>
    </row>
  </sheetData>
  <mergeCells count="52">
    <mergeCell ref="G18:I18"/>
    <mergeCell ref="C213:C214"/>
    <mergeCell ref="J213:J214"/>
    <mergeCell ref="Q213:Q214"/>
    <mergeCell ref="I95:M96"/>
    <mergeCell ref="C97:E97"/>
    <mergeCell ref="I97:M97"/>
    <mergeCell ref="Q97:S97"/>
    <mergeCell ref="J92:L93"/>
    <mergeCell ref="C92:E93"/>
    <mergeCell ref="Q92:S93"/>
    <mergeCell ref="P216:T217"/>
    <mergeCell ref="P220:T221"/>
    <mergeCell ref="P227:T228"/>
    <mergeCell ref="C237:C238"/>
    <mergeCell ref="J237:J238"/>
    <mergeCell ref="Q237:Q238"/>
    <mergeCell ref="B220:F221"/>
    <mergeCell ref="B216:F217"/>
    <mergeCell ref="B227:F228"/>
    <mergeCell ref="I216:M217"/>
    <mergeCell ref="I220:M221"/>
    <mergeCell ref="I227:M228"/>
    <mergeCell ref="B251:F252"/>
    <mergeCell ref="I251:M252"/>
    <mergeCell ref="P251:T252"/>
    <mergeCell ref="P244:T248"/>
    <mergeCell ref="B240:F241"/>
    <mergeCell ref="I240:M241"/>
    <mergeCell ref="P240:T241"/>
    <mergeCell ref="B244:F245"/>
    <mergeCell ref="I244:M245"/>
    <mergeCell ref="B260:F262"/>
    <mergeCell ref="I260:M262"/>
    <mergeCell ref="P260:T262"/>
    <mergeCell ref="B265:F266"/>
    <mergeCell ref="B269:F270"/>
    <mergeCell ref="B274:F275"/>
    <mergeCell ref="I265:M266"/>
    <mergeCell ref="I269:M270"/>
    <mergeCell ref="I274:M275"/>
    <mergeCell ref="P265:T266"/>
    <mergeCell ref="P269:T270"/>
    <mergeCell ref="P274:T275"/>
    <mergeCell ref="C284:D287"/>
    <mergeCell ref="H284:I287"/>
    <mergeCell ref="M284:N287"/>
    <mergeCell ref="R284:S287"/>
    <mergeCell ref="B290:E294"/>
    <mergeCell ref="G290:J294"/>
    <mergeCell ref="L290:O294"/>
    <mergeCell ref="Q291:T29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0C73F-EBB6-4653-A5D8-B3C9FA73FE8A}">
  <dimension ref="B2:E28"/>
  <sheetViews>
    <sheetView topLeftCell="A28" zoomScale="130" zoomScaleNormal="130" workbookViewId="0">
      <selection activeCell="G10" sqref="G10"/>
    </sheetView>
  </sheetViews>
  <sheetFormatPr defaultRowHeight="15" x14ac:dyDescent="0.25"/>
  <cols>
    <col min="1" max="1" width="3.28515625" customWidth="1"/>
    <col min="2" max="5" width="21" customWidth="1"/>
  </cols>
  <sheetData>
    <row r="2" spans="2:5" ht="26.25" x14ac:dyDescent="0.25">
      <c r="B2" s="206" t="s">
        <v>449</v>
      </c>
      <c r="C2" s="206"/>
      <c r="D2" s="206"/>
      <c r="E2" s="206"/>
    </row>
    <row r="3" spans="2:5" x14ac:dyDescent="0.25">
      <c r="B3" s="207" t="s">
        <v>450</v>
      </c>
      <c r="C3" s="207"/>
      <c r="D3" s="207"/>
      <c r="E3" s="207"/>
    </row>
    <row r="5" spans="2:5" ht="19.5" x14ac:dyDescent="0.25">
      <c r="B5" s="81" t="s">
        <v>451</v>
      </c>
      <c r="C5" s="81" t="s">
        <v>452</v>
      </c>
      <c r="D5" s="81" t="s">
        <v>453</v>
      </c>
      <c r="E5" s="81" t="s">
        <v>454</v>
      </c>
    </row>
    <row r="6" spans="2:5" x14ac:dyDescent="0.25">
      <c r="B6" s="82" t="s">
        <v>455</v>
      </c>
      <c r="C6" s="82" t="s">
        <v>456</v>
      </c>
      <c r="D6" s="82" t="s">
        <v>457</v>
      </c>
      <c r="E6" s="82" t="s">
        <v>458</v>
      </c>
    </row>
    <row r="8" spans="2:5" ht="15.75" thickBot="1" x14ac:dyDescent="0.3">
      <c r="B8" s="208" t="s">
        <v>459</v>
      </c>
      <c r="C8" s="208"/>
      <c r="D8" s="208"/>
      <c r="E8" s="208"/>
    </row>
    <row r="9" spans="2:5" x14ac:dyDescent="0.25">
      <c r="B9" s="203" t="s">
        <v>467</v>
      </c>
      <c r="C9" s="203"/>
      <c r="D9" s="203"/>
      <c r="E9" s="203"/>
    </row>
    <row r="10" spans="2:5" ht="33" customHeight="1" x14ac:dyDescent="0.25">
      <c r="B10" s="202" t="s">
        <v>468</v>
      </c>
      <c r="C10" s="202"/>
      <c r="D10" s="202"/>
      <c r="E10" s="202"/>
    </row>
    <row r="11" spans="2:5" x14ac:dyDescent="0.25">
      <c r="B11" s="203" t="s">
        <v>469</v>
      </c>
      <c r="C11" s="203"/>
      <c r="D11" s="203"/>
      <c r="E11" s="203"/>
    </row>
    <row r="12" spans="2:5" ht="34.5" customHeight="1" x14ac:dyDescent="0.25">
      <c r="B12" s="202" t="s">
        <v>470</v>
      </c>
      <c r="C12" s="202"/>
      <c r="D12" s="202"/>
      <c r="E12" s="202"/>
    </row>
    <row r="13" spans="2:5" x14ac:dyDescent="0.25">
      <c r="B13" s="203" t="s">
        <v>471</v>
      </c>
      <c r="C13" s="203"/>
      <c r="D13" s="203"/>
      <c r="E13" s="203"/>
    </row>
    <row r="14" spans="2:5" ht="33" customHeight="1" x14ac:dyDescent="0.25">
      <c r="B14" s="202" t="s">
        <v>472</v>
      </c>
      <c r="C14" s="202"/>
      <c r="D14" s="202"/>
      <c r="E14" s="202"/>
    </row>
    <row r="15" spans="2:5" x14ac:dyDescent="0.25">
      <c r="B15" s="203" t="s">
        <v>473</v>
      </c>
      <c r="C15" s="203"/>
      <c r="D15" s="203"/>
      <c r="E15" s="203"/>
    </row>
    <row r="16" spans="2:5" ht="32.25" customHeight="1" x14ac:dyDescent="0.25">
      <c r="B16" s="202" t="s">
        <v>474</v>
      </c>
      <c r="C16" s="202"/>
      <c r="D16" s="202"/>
      <c r="E16" s="202"/>
    </row>
    <row r="17" spans="2:5" x14ac:dyDescent="0.25">
      <c r="B17" s="203" t="s">
        <v>475</v>
      </c>
      <c r="C17" s="203"/>
      <c r="D17" s="203"/>
      <c r="E17" s="203"/>
    </row>
    <row r="18" spans="2:5" ht="27.75" customHeight="1" x14ac:dyDescent="0.25">
      <c r="B18" s="202" t="s">
        <v>476</v>
      </c>
      <c r="C18" s="202"/>
      <c r="D18" s="202"/>
      <c r="E18" s="202"/>
    </row>
    <row r="20" spans="2:5" ht="15.75" thickBot="1" x14ac:dyDescent="0.3">
      <c r="B20" s="204" t="s">
        <v>460</v>
      </c>
      <c r="C20" s="204"/>
      <c r="D20" s="204"/>
      <c r="E20" s="204"/>
    </row>
    <row r="21" spans="2:5" x14ac:dyDescent="0.25">
      <c r="B21" s="205" t="s">
        <v>461</v>
      </c>
      <c r="C21" s="205"/>
      <c r="D21" s="205"/>
      <c r="E21" s="205"/>
    </row>
    <row r="22" spans="2:5" ht="47.25" customHeight="1" x14ac:dyDescent="0.25">
      <c r="B22" s="200" t="s">
        <v>477</v>
      </c>
      <c r="C22" s="200"/>
      <c r="D22" s="200"/>
      <c r="E22" s="200"/>
    </row>
    <row r="23" spans="2:5" x14ac:dyDescent="0.25">
      <c r="B23" s="201" t="s">
        <v>462</v>
      </c>
      <c r="C23" s="201"/>
      <c r="D23" s="201"/>
      <c r="E23" s="201"/>
    </row>
    <row r="24" spans="2:5" ht="33.75" customHeight="1" x14ac:dyDescent="0.25">
      <c r="B24" s="200" t="s">
        <v>463</v>
      </c>
      <c r="C24" s="200"/>
      <c r="D24" s="200"/>
      <c r="E24" s="200"/>
    </row>
    <row r="25" spans="2:5" x14ac:dyDescent="0.25">
      <c r="B25" s="201" t="s">
        <v>464</v>
      </c>
      <c r="C25" s="201"/>
      <c r="D25" s="201"/>
      <c r="E25" s="201"/>
    </row>
    <row r="26" spans="2:5" ht="45" customHeight="1" x14ac:dyDescent="0.25">
      <c r="B26" s="200" t="s">
        <v>465</v>
      </c>
      <c r="C26" s="200"/>
      <c r="D26" s="200"/>
      <c r="E26" s="200"/>
    </row>
    <row r="28" spans="2:5" ht="51.75" customHeight="1" x14ac:dyDescent="0.25">
      <c r="B28" s="199" t="s">
        <v>466</v>
      </c>
      <c r="C28" s="199"/>
      <c r="D28" s="199"/>
      <c r="E28" s="199"/>
    </row>
  </sheetData>
  <mergeCells count="21">
    <mergeCell ref="B2:E2"/>
    <mergeCell ref="B3:E3"/>
    <mergeCell ref="B8:E8"/>
    <mergeCell ref="B9:E9"/>
    <mergeCell ref="B10:E10"/>
    <mergeCell ref="B11:E11"/>
    <mergeCell ref="B12:E12"/>
    <mergeCell ref="B13:E13"/>
    <mergeCell ref="B14:E14"/>
    <mergeCell ref="B15:E15"/>
    <mergeCell ref="B16:E16"/>
    <mergeCell ref="B17:E17"/>
    <mergeCell ref="B18:E18"/>
    <mergeCell ref="B20:E20"/>
    <mergeCell ref="B21:E21"/>
    <mergeCell ref="B28:E28"/>
    <mergeCell ref="B22:E22"/>
    <mergeCell ref="B23:E23"/>
    <mergeCell ref="B24:E24"/>
    <mergeCell ref="B25:E25"/>
    <mergeCell ref="B26:E2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4154C-4520-4A4D-AF1A-0648FE99B52B}">
  <dimension ref="A1:C31"/>
  <sheetViews>
    <sheetView topLeftCell="A22" workbookViewId="0">
      <selection activeCell="I6" sqref="I6"/>
    </sheetView>
  </sheetViews>
  <sheetFormatPr defaultRowHeight="15" x14ac:dyDescent="0.25"/>
  <cols>
    <col min="1" max="1" width="15.7109375" customWidth="1"/>
    <col min="2" max="2" width="23.42578125" customWidth="1"/>
    <col min="3" max="3" width="77" customWidth="1"/>
  </cols>
  <sheetData>
    <row r="1" spans="1:3" ht="18.75" x14ac:dyDescent="0.3">
      <c r="A1" s="83" t="s">
        <v>409</v>
      </c>
    </row>
    <row r="2" spans="1:3" x14ac:dyDescent="0.25">
      <c r="A2" t="s">
        <v>410</v>
      </c>
    </row>
    <row r="4" spans="1:3" ht="18.75" x14ac:dyDescent="0.25">
      <c r="A4" s="80" t="s">
        <v>411</v>
      </c>
      <c r="B4" s="75"/>
      <c r="C4" s="75"/>
    </row>
    <row r="5" spans="1:3" ht="20.25" customHeight="1" x14ac:dyDescent="0.25">
      <c r="A5" s="50" t="s">
        <v>412</v>
      </c>
      <c r="B5" s="50" t="s">
        <v>2</v>
      </c>
      <c r="C5" s="50" t="s">
        <v>413</v>
      </c>
    </row>
    <row r="6" spans="1:3" ht="60" customHeight="1" x14ac:dyDescent="0.25">
      <c r="A6" s="20" t="s">
        <v>420</v>
      </c>
      <c r="B6" s="20" t="s">
        <v>415</v>
      </c>
      <c r="C6" s="20" t="s">
        <v>414</v>
      </c>
    </row>
    <row r="7" spans="1:3" ht="78" customHeight="1" x14ac:dyDescent="0.25">
      <c r="A7" s="20" t="s">
        <v>421</v>
      </c>
      <c r="B7" s="20" t="s">
        <v>416</v>
      </c>
      <c r="C7" s="20" t="s">
        <v>417</v>
      </c>
    </row>
    <row r="8" spans="1:3" ht="90" x14ac:dyDescent="0.25">
      <c r="A8" s="20" t="s">
        <v>422</v>
      </c>
      <c r="B8" s="20" t="s">
        <v>418</v>
      </c>
      <c r="C8" s="20" t="s">
        <v>419</v>
      </c>
    </row>
    <row r="10" spans="1:3" ht="17.25" customHeight="1" x14ac:dyDescent="0.25">
      <c r="A10" s="209" t="s">
        <v>423</v>
      </c>
      <c r="B10" s="210"/>
      <c r="C10" s="210"/>
    </row>
    <row r="11" spans="1:3" x14ac:dyDescent="0.25">
      <c r="A11" s="210"/>
      <c r="B11" s="210"/>
      <c r="C11" s="210"/>
    </row>
    <row r="12" spans="1:3" x14ac:dyDescent="0.25">
      <c r="A12" s="5"/>
      <c r="B12" s="5"/>
      <c r="C12" s="5"/>
    </row>
    <row r="13" spans="1:3" ht="18.75" x14ac:dyDescent="0.3">
      <c r="A13" s="79" t="s">
        <v>424</v>
      </c>
      <c r="B13" s="76"/>
      <c r="C13" s="76"/>
    </row>
    <row r="14" spans="1:3" x14ac:dyDescent="0.25">
      <c r="A14" s="22" t="s">
        <v>412</v>
      </c>
      <c r="B14" s="22" t="s">
        <v>425</v>
      </c>
      <c r="C14" s="22" t="s">
        <v>426</v>
      </c>
    </row>
    <row r="15" spans="1:3" ht="75" x14ac:dyDescent="0.25">
      <c r="A15" s="20" t="s">
        <v>427</v>
      </c>
      <c r="B15" s="20" t="s">
        <v>428</v>
      </c>
      <c r="C15" s="20" t="s">
        <v>429</v>
      </c>
    </row>
    <row r="16" spans="1:3" ht="60" x14ac:dyDescent="0.25">
      <c r="A16" s="20" t="s">
        <v>430</v>
      </c>
      <c r="B16" s="20" t="s">
        <v>431</v>
      </c>
      <c r="C16" s="20" t="s">
        <v>432</v>
      </c>
    </row>
    <row r="17" spans="1:3" ht="45" x14ac:dyDescent="0.25">
      <c r="A17" s="20" t="s">
        <v>433</v>
      </c>
      <c r="B17" s="20" t="s">
        <v>48</v>
      </c>
      <c r="C17" s="20" t="s">
        <v>434</v>
      </c>
    </row>
    <row r="19" spans="1:3" x14ac:dyDescent="0.25">
      <c r="A19" s="209" t="s">
        <v>435</v>
      </c>
      <c r="B19" s="210"/>
      <c r="C19" s="210"/>
    </row>
    <row r="20" spans="1:3" x14ac:dyDescent="0.25">
      <c r="A20" s="210"/>
      <c r="B20" s="210"/>
      <c r="C20" s="210"/>
    </row>
    <row r="23" spans="1:3" ht="18.75" x14ac:dyDescent="0.25">
      <c r="A23" s="78" t="s">
        <v>436</v>
      </c>
      <c r="B23" s="76"/>
      <c r="C23" s="76"/>
    </row>
    <row r="24" spans="1:3" x14ac:dyDescent="0.25">
      <c r="A24" s="22" t="s">
        <v>291</v>
      </c>
      <c r="B24" s="22" t="s">
        <v>437</v>
      </c>
      <c r="C24" s="22" t="s">
        <v>426</v>
      </c>
    </row>
    <row r="25" spans="1:3" ht="45" x14ac:dyDescent="0.25">
      <c r="A25" s="77" t="s">
        <v>443</v>
      </c>
      <c r="B25" s="77" t="s">
        <v>92</v>
      </c>
      <c r="C25" s="77" t="s">
        <v>438</v>
      </c>
    </row>
    <row r="26" spans="1:3" ht="45" x14ac:dyDescent="0.25">
      <c r="A26" s="77" t="s">
        <v>444</v>
      </c>
      <c r="B26" s="77" t="s">
        <v>439</v>
      </c>
      <c r="C26" s="77" t="s">
        <v>440</v>
      </c>
    </row>
    <row r="27" spans="1:3" ht="60" x14ac:dyDescent="0.25">
      <c r="A27" s="77" t="s">
        <v>446</v>
      </c>
      <c r="B27" s="77" t="s">
        <v>127</v>
      </c>
      <c r="C27" s="77" t="s">
        <v>441</v>
      </c>
    </row>
    <row r="28" spans="1:3" ht="60" x14ac:dyDescent="0.25">
      <c r="A28" s="77" t="s">
        <v>445</v>
      </c>
      <c r="B28" s="77" t="s">
        <v>442</v>
      </c>
      <c r="C28" s="77" t="s">
        <v>447</v>
      </c>
    </row>
    <row r="30" spans="1:3" x14ac:dyDescent="0.25">
      <c r="A30" s="209" t="s">
        <v>448</v>
      </c>
      <c r="B30" s="209"/>
      <c r="C30" s="209"/>
    </row>
    <row r="31" spans="1:3" x14ac:dyDescent="0.25">
      <c r="A31" s="209"/>
      <c r="B31" s="209"/>
      <c r="C31" s="209"/>
    </row>
  </sheetData>
  <mergeCells count="3">
    <mergeCell ref="A10:C11"/>
    <mergeCell ref="A19:C20"/>
    <mergeCell ref="A30:C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BA392-DAC4-430A-B404-A499C82EE4DD}">
  <dimension ref="A1:AC665"/>
  <sheetViews>
    <sheetView topLeftCell="A283" zoomScale="80" zoomScaleNormal="80" workbookViewId="0">
      <selection activeCell="L274" sqref="L274"/>
    </sheetView>
  </sheetViews>
  <sheetFormatPr defaultRowHeight="15" x14ac:dyDescent="0.25"/>
  <cols>
    <col min="1" max="1" width="22.42578125" bestFit="1" customWidth="1"/>
    <col min="2" max="2" width="16.7109375" style="19" bestFit="1" customWidth="1"/>
    <col min="3" max="3" width="13.42578125" style="19" customWidth="1"/>
    <col min="4" max="4" width="17.42578125" style="19" customWidth="1"/>
    <col min="5" max="5" width="15.140625" style="19" customWidth="1"/>
    <col min="6" max="6" width="14.5703125" style="19" customWidth="1"/>
    <col min="7" max="7" width="12.140625" style="19" bestFit="1" customWidth="1"/>
    <col min="8" max="8" width="15" style="19" bestFit="1" customWidth="1"/>
    <col min="9" max="9" width="10.140625" style="19" bestFit="1" customWidth="1"/>
    <col min="10" max="10" width="15.7109375" style="19" customWidth="1"/>
    <col min="11" max="11" width="14.42578125" style="19" bestFit="1" customWidth="1"/>
    <col min="12" max="12" width="16.7109375" style="19" bestFit="1" customWidth="1"/>
    <col min="13" max="13" width="16" style="19" bestFit="1" customWidth="1"/>
    <col min="14" max="14" width="15" bestFit="1" customWidth="1"/>
    <col min="15" max="15" width="10.140625" bestFit="1" customWidth="1"/>
    <col min="16" max="16" width="13.7109375" bestFit="1" customWidth="1"/>
    <col min="17" max="17" width="16.5703125" bestFit="1" customWidth="1"/>
    <col min="18" max="197" width="16.7109375" bestFit="1" customWidth="1"/>
    <col min="198" max="198" width="11.5703125" bestFit="1" customWidth="1"/>
    <col min="199" max="202" width="11.42578125" bestFit="1" customWidth="1"/>
    <col min="203" max="203" width="11.28515625" bestFit="1" customWidth="1"/>
  </cols>
  <sheetData>
    <row r="1" spans="1:13" ht="36" x14ac:dyDescent="0.25">
      <c r="A1" s="166" t="s">
        <v>629</v>
      </c>
      <c r="B1" s="167"/>
      <c r="C1" s="167"/>
      <c r="D1" s="167"/>
      <c r="E1" s="167"/>
      <c r="F1" s="167"/>
      <c r="G1" s="167"/>
      <c r="H1" s="167"/>
      <c r="I1" s="167"/>
      <c r="J1" s="167"/>
      <c r="K1" s="167"/>
      <c r="L1" s="167"/>
    </row>
    <row r="3" spans="1:13" x14ac:dyDescent="0.25">
      <c r="A3" s="27" t="s">
        <v>3</v>
      </c>
      <c r="B3" t="s">
        <v>641</v>
      </c>
      <c r="C3"/>
      <c r="D3"/>
      <c r="E3"/>
      <c r="F3"/>
      <c r="G3"/>
      <c r="H3"/>
      <c r="I3"/>
      <c r="J3"/>
      <c r="K3"/>
      <c r="L3"/>
    </row>
    <row r="4" spans="1:13" x14ac:dyDescent="0.25">
      <c r="B4"/>
      <c r="C4"/>
      <c r="D4"/>
      <c r="E4"/>
      <c r="F4"/>
      <c r="G4"/>
      <c r="H4"/>
      <c r="I4"/>
      <c r="J4"/>
      <c r="K4"/>
      <c r="M4"/>
    </row>
    <row r="5" spans="1:13" x14ac:dyDescent="0.25">
      <c r="A5" s="27" t="s">
        <v>317</v>
      </c>
      <c r="B5" t="s">
        <v>319</v>
      </c>
      <c r="C5" t="s">
        <v>336</v>
      </c>
      <c r="D5"/>
      <c r="E5"/>
      <c r="F5"/>
      <c r="G5"/>
      <c r="H5"/>
      <c r="I5"/>
      <c r="J5"/>
      <c r="K5"/>
      <c r="M5"/>
    </row>
    <row r="6" spans="1:13" x14ac:dyDescent="0.25">
      <c r="A6" s="28" t="s">
        <v>322</v>
      </c>
      <c r="B6" s="220">
        <v>28814000</v>
      </c>
      <c r="C6" s="219">
        <v>20</v>
      </c>
      <c r="D6"/>
      <c r="E6"/>
      <c r="F6"/>
      <c r="G6"/>
      <c r="H6"/>
      <c r="I6"/>
      <c r="J6"/>
      <c r="K6"/>
      <c r="M6"/>
    </row>
    <row r="7" spans="1:13" x14ac:dyDescent="0.25">
      <c r="A7" s="28" t="s">
        <v>323</v>
      </c>
      <c r="B7" s="220">
        <v>26034000</v>
      </c>
      <c r="C7" s="219">
        <v>20</v>
      </c>
      <c r="D7"/>
      <c r="E7"/>
      <c r="F7"/>
      <c r="G7"/>
      <c r="H7"/>
      <c r="I7"/>
      <c r="J7"/>
      <c r="K7"/>
      <c r="M7"/>
    </row>
    <row r="8" spans="1:13" x14ac:dyDescent="0.25">
      <c r="A8" s="28" t="s">
        <v>324</v>
      </c>
      <c r="B8" s="220">
        <v>21792000</v>
      </c>
      <c r="C8" s="219">
        <v>11</v>
      </c>
      <c r="D8"/>
      <c r="E8"/>
      <c r="F8"/>
      <c r="G8"/>
      <c r="H8"/>
      <c r="I8"/>
      <c r="J8"/>
      <c r="K8"/>
      <c r="M8"/>
    </row>
    <row r="9" spans="1:13" x14ac:dyDescent="0.25">
      <c r="A9" s="28" t="s">
        <v>325</v>
      </c>
      <c r="B9" s="220">
        <v>14459000</v>
      </c>
      <c r="C9" s="219">
        <v>10</v>
      </c>
      <c r="D9"/>
      <c r="E9"/>
      <c r="F9"/>
      <c r="G9"/>
      <c r="H9"/>
      <c r="I9"/>
      <c r="J9"/>
      <c r="K9"/>
      <c r="M9"/>
    </row>
    <row r="10" spans="1:13" x14ac:dyDescent="0.25">
      <c r="A10" s="28" t="s">
        <v>326</v>
      </c>
      <c r="B10" s="220">
        <v>15089000</v>
      </c>
      <c r="C10" s="219">
        <v>13</v>
      </c>
      <c r="D10"/>
      <c r="E10"/>
      <c r="F10"/>
      <c r="G10"/>
      <c r="H10"/>
      <c r="I10"/>
      <c r="J10"/>
      <c r="K10"/>
      <c r="M10"/>
    </row>
    <row r="11" spans="1:13" x14ac:dyDescent="0.25">
      <c r="A11" s="28" t="s">
        <v>327</v>
      </c>
      <c r="B11" s="220">
        <v>17172000</v>
      </c>
      <c r="C11" s="219">
        <v>17</v>
      </c>
      <c r="D11"/>
      <c r="E11"/>
      <c r="F11"/>
      <c r="G11"/>
      <c r="H11"/>
      <c r="I11"/>
      <c r="J11"/>
      <c r="K11"/>
      <c r="M11"/>
    </row>
    <row r="12" spans="1:13" x14ac:dyDescent="0.25">
      <c r="A12" s="28" t="s">
        <v>328</v>
      </c>
      <c r="B12" s="220">
        <v>13325000</v>
      </c>
      <c r="C12" s="219">
        <v>14</v>
      </c>
      <c r="D12"/>
      <c r="E12"/>
      <c r="F12"/>
      <c r="G12"/>
      <c r="H12"/>
      <c r="I12"/>
      <c r="J12"/>
      <c r="K12"/>
      <c r="M12"/>
    </row>
    <row r="13" spans="1:13" x14ac:dyDescent="0.25">
      <c r="A13" s="28" t="s">
        <v>329</v>
      </c>
      <c r="B13" s="220">
        <v>32323000</v>
      </c>
      <c r="C13" s="219">
        <v>26</v>
      </c>
      <c r="D13"/>
      <c r="E13"/>
      <c r="F13"/>
      <c r="G13"/>
      <c r="H13"/>
      <c r="I13"/>
      <c r="J13"/>
      <c r="K13"/>
      <c r="M13"/>
    </row>
    <row r="14" spans="1:13" x14ac:dyDescent="0.25">
      <c r="A14" s="28" t="s">
        <v>330</v>
      </c>
      <c r="B14" s="220">
        <v>15606000</v>
      </c>
      <c r="C14" s="219">
        <v>15</v>
      </c>
      <c r="D14"/>
      <c r="E14"/>
      <c r="F14"/>
      <c r="G14"/>
      <c r="H14"/>
      <c r="I14"/>
      <c r="J14"/>
      <c r="K14"/>
      <c r="M14"/>
    </row>
    <row r="15" spans="1:13" x14ac:dyDescent="0.25">
      <c r="A15" s="28" t="s">
        <v>331</v>
      </c>
      <c r="B15" s="220">
        <v>36743000</v>
      </c>
      <c r="C15" s="219">
        <v>26</v>
      </c>
      <c r="D15"/>
      <c r="E15"/>
      <c r="F15"/>
      <c r="G15"/>
      <c r="H15"/>
      <c r="I15"/>
      <c r="J15"/>
      <c r="K15"/>
      <c r="M15"/>
    </row>
    <row r="16" spans="1:13" x14ac:dyDescent="0.25">
      <c r="A16" s="28" t="s">
        <v>332</v>
      </c>
      <c r="B16" s="220">
        <v>30133000</v>
      </c>
      <c r="C16" s="219">
        <v>22</v>
      </c>
      <c r="D16"/>
      <c r="E16"/>
      <c r="F16"/>
      <c r="G16"/>
      <c r="H16"/>
      <c r="I16"/>
      <c r="J16"/>
      <c r="K16"/>
      <c r="M16"/>
    </row>
    <row r="17" spans="1:12" x14ac:dyDescent="0.25">
      <c r="A17" s="28" t="s">
        <v>333</v>
      </c>
      <c r="B17" s="220">
        <v>29143000</v>
      </c>
      <c r="C17" s="219">
        <v>26</v>
      </c>
      <c r="D17"/>
      <c r="E17"/>
      <c r="F17"/>
      <c r="G17"/>
      <c r="H17"/>
      <c r="I17"/>
      <c r="J17"/>
      <c r="K17"/>
      <c r="L17"/>
    </row>
    <row r="18" spans="1:12" x14ac:dyDescent="0.25">
      <c r="A18" s="28" t="s">
        <v>318</v>
      </c>
      <c r="B18" s="220">
        <v>280633000</v>
      </c>
      <c r="C18" s="219">
        <v>220</v>
      </c>
      <c r="D18"/>
      <c r="E18"/>
      <c r="F18"/>
      <c r="G18"/>
      <c r="H18"/>
      <c r="I18"/>
      <c r="J18"/>
      <c r="K18"/>
      <c r="L18"/>
    </row>
    <row r="19" spans="1:12" x14ac:dyDescent="0.25">
      <c r="A19" t="s">
        <v>320</v>
      </c>
      <c r="B19">
        <f>MAX(B6:B17)</f>
        <v>36743000</v>
      </c>
      <c r="C19"/>
      <c r="D19"/>
      <c r="E19"/>
      <c r="F19"/>
      <c r="G19"/>
      <c r="H19"/>
      <c r="I19"/>
      <c r="J19"/>
      <c r="K19"/>
      <c r="L19"/>
    </row>
    <row r="20" spans="1:12" x14ac:dyDescent="0.25">
      <c r="A20" t="s">
        <v>321</v>
      </c>
      <c r="B20">
        <f>MIN(B6:B17)</f>
        <v>13325000</v>
      </c>
      <c r="C20"/>
      <c r="D20"/>
      <c r="E20"/>
      <c r="F20"/>
      <c r="G20"/>
      <c r="H20"/>
      <c r="I20"/>
      <c r="J20"/>
      <c r="K20"/>
      <c r="L20"/>
    </row>
    <row r="21" spans="1:12" x14ac:dyDescent="0.25">
      <c r="A21" s="28" t="s">
        <v>334</v>
      </c>
      <c r="B21" s="30" t="str">
        <f>INDEX(A6:A17,MATCH(MAX(B19),B6:B17,0))</f>
        <v>October</v>
      </c>
      <c r="C21"/>
      <c r="D21"/>
      <c r="E21"/>
      <c r="F21"/>
      <c r="G21"/>
      <c r="H21"/>
      <c r="I21"/>
      <c r="J21"/>
      <c r="K21"/>
      <c r="L21"/>
    </row>
    <row r="22" spans="1:12" x14ac:dyDescent="0.25">
      <c r="A22" s="28" t="s">
        <v>335</v>
      </c>
      <c r="B22" s="29" t="str">
        <f>INDEX(A6:A17,MATCH(MIN(B20),B6:B17,0))</f>
        <v>July</v>
      </c>
      <c r="C22"/>
      <c r="D22"/>
      <c r="E22"/>
      <c r="F22"/>
      <c r="G22"/>
      <c r="H22"/>
      <c r="I22"/>
      <c r="J22"/>
      <c r="K22"/>
      <c r="L22"/>
    </row>
    <row r="23" spans="1:12" x14ac:dyDescent="0.25">
      <c r="B23"/>
      <c r="C23"/>
      <c r="D23"/>
      <c r="E23"/>
      <c r="F23"/>
      <c r="G23"/>
      <c r="H23"/>
      <c r="I23"/>
      <c r="J23"/>
      <c r="K23"/>
      <c r="L23"/>
    </row>
    <row r="24" spans="1:12" x14ac:dyDescent="0.25">
      <c r="A24" s="209" t="s">
        <v>337</v>
      </c>
      <c r="B24" s="209"/>
      <c r="C24" s="209"/>
      <c r="D24" s="209"/>
      <c r="E24" s="209"/>
      <c r="F24" s="209"/>
      <c r="G24"/>
      <c r="H24"/>
      <c r="I24"/>
      <c r="J24"/>
      <c r="K24"/>
      <c r="L24"/>
    </row>
    <row r="25" spans="1:12" x14ac:dyDescent="0.25">
      <c r="A25" s="209" t="s">
        <v>338</v>
      </c>
      <c r="B25" s="209"/>
      <c r="C25" s="209"/>
      <c r="D25" s="209"/>
      <c r="E25" s="209"/>
      <c r="F25" s="209"/>
      <c r="G25"/>
      <c r="H25"/>
      <c r="I25"/>
      <c r="J25"/>
      <c r="K25"/>
      <c r="L25"/>
    </row>
    <row r="26" spans="1:12" x14ac:dyDescent="0.25">
      <c r="A26" s="210" t="s">
        <v>339</v>
      </c>
      <c r="B26" s="210"/>
      <c r="C26" s="210"/>
      <c r="D26" s="210"/>
      <c r="E26" s="210"/>
      <c r="F26" s="210"/>
      <c r="G26"/>
      <c r="H26"/>
      <c r="I26"/>
      <c r="J26"/>
      <c r="K26"/>
      <c r="L26"/>
    </row>
    <row r="27" spans="1:12" x14ac:dyDescent="0.25">
      <c r="A27" s="209" t="s">
        <v>341</v>
      </c>
      <c r="B27" s="209"/>
      <c r="C27" s="209"/>
      <c r="D27" s="209"/>
      <c r="E27" s="209"/>
      <c r="F27" s="209"/>
      <c r="G27" s="31"/>
      <c r="H27"/>
      <c r="I27"/>
      <c r="J27"/>
      <c r="K27"/>
      <c r="L27"/>
    </row>
    <row r="28" spans="1:12" x14ac:dyDescent="0.25">
      <c r="A28" s="210" t="s">
        <v>340</v>
      </c>
      <c r="B28" s="210"/>
      <c r="C28" s="210"/>
      <c r="D28" s="210"/>
      <c r="E28" s="210"/>
      <c r="F28" s="210"/>
      <c r="G28"/>
      <c r="H28"/>
      <c r="I28"/>
      <c r="J28"/>
      <c r="K28"/>
      <c r="L28"/>
    </row>
    <row r="29" spans="1:12" x14ac:dyDescent="0.25">
      <c r="A29" s="45"/>
      <c r="B29" s="45"/>
      <c r="C29" s="45"/>
      <c r="D29" s="45"/>
      <c r="E29" s="45"/>
      <c r="F29" s="45"/>
      <c r="G29"/>
      <c r="H29"/>
      <c r="I29"/>
      <c r="J29"/>
      <c r="K29"/>
      <c r="L29"/>
    </row>
    <row r="30" spans="1:12" x14ac:dyDescent="0.25">
      <c r="A30" s="45"/>
      <c r="B30" s="45"/>
      <c r="C30" s="45"/>
      <c r="D30" s="45"/>
      <c r="E30" s="45"/>
      <c r="F30" s="45"/>
      <c r="G30"/>
      <c r="H30"/>
      <c r="I30"/>
      <c r="J30"/>
      <c r="K30"/>
      <c r="L30"/>
    </row>
    <row r="31" spans="1:12" ht="36" x14ac:dyDescent="0.25">
      <c r="A31" s="211" t="s">
        <v>630</v>
      </c>
      <c r="B31" s="211"/>
      <c r="C31" s="211"/>
      <c r="D31" s="211"/>
      <c r="E31" s="211"/>
      <c r="F31" s="211"/>
      <c r="G31" s="211"/>
      <c r="H31" s="211"/>
      <c r="I31" s="211"/>
      <c r="J31" s="211"/>
      <c r="K31" s="211"/>
      <c r="L31" s="211"/>
    </row>
    <row r="33" spans="1:12" ht="60" x14ac:dyDescent="0.25">
      <c r="A33" s="27" t="s">
        <v>2</v>
      </c>
      <c r="B33" s="19" t="s">
        <v>314</v>
      </c>
      <c r="C33" s="19" t="s">
        <v>342</v>
      </c>
      <c r="D33" s="19" t="s">
        <v>344</v>
      </c>
      <c r="E33" s="19" t="s">
        <v>343</v>
      </c>
      <c r="G33" s="27" t="s">
        <v>2</v>
      </c>
      <c r="H33" t="s">
        <v>314</v>
      </c>
      <c r="I33"/>
      <c r="J33" s="27" t="s">
        <v>2</v>
      </c>
      <c r="K33" t="s">
        <v>642</v>
      </c>
    </row>
    <row r="34" spans="1:12" x14ac:dyDescent="0.25">
      <c r="A34" s="28" t="s">
        <v>42</v>
      </c>
      <c r="B34" s="221">
        <v>26837000</v>
      </c>
      <c r="C34" s="34">
        <v>9.5630235930913327E-2</v>
      </c>
      <c r="D34" s="221">
        <v>24</v>
      </c>
      <c r="E34" s="34">
        <v>0.12780036560204966</v>
      </c>
      <c r="G34" s="28" t="s">
        <v>277</v>
      </c>
      <c r="H34" s="130">
        <v>1999000</v>
      </c>
      <c r="I34"/>
      <c r="J34" s="28" t="s">
        <v>277</v>
      </c>
      <c r="K34" s="130">
        <v>666333.33333333337</v>
      </c>
    </row>
    <row r="35" spans="1:12" x14ac:dyDescent="0.25">
      <c r="A35" s="28" t="s">
        <v>25</v>
      </c>
      <c r="B35" s="221">
        <v>16799000</v>
      </c>
      <c r="C35" s="34">
        <v>5.9861099728114653E-2</v>
      </c>
      <c r="D35" s="221">
        <v>17</v>
      </c>
      <c r="E35" s="34">
        <f>SUM($D$34:D35)</f>
        <v>41</v>
      </c>
      <c r="G35" s="28" t="s">
        <v>25</v>
      </c>
      <c r="H35" s="130">
        <v>16799000</v>
      </c>
      <c r="I35"/>
      <c r="J35" s="28" t="s">
        <v>25</v>
      </c>
      <c r="K35" s="130">
        <v>988176.4705882353</v>
      </c>
    </row>
    <row r="36" spans="1:12" x14ac:dyDescent="0.25">
      <c r="A36" s="28" t="s">
        <v>64</v>
      </c>
      <c r="B36" s="221">
        <v>25296000</v>
      </c>
      <c r="C36" s="34">
        <v>9.013907844052553E-2</v>
      </c>
      <c r="D36" s="221">
        <v>19</v>
      </c>
      <c r="E36" s="34">
        <f>SUM($D$34:D36)</f>
        <v>60</v>
      </c>
      <c r="G36" s="28" t="s">
        <v>35</v>
      </c>
      <c r="H36" s="130">
        <v>20675000</v>
      </c>
      <c r="I36"/>
      <c r="J36" s="28" t="s">
        <v>51</v>
      </c>
      <c r="K36" s="130">
        <v>1079120</v>
      </c>
    </row>
    <row r="37" spans="1:12" x14ac:dyDescent="0.25">
      <c r="A37" s="28" t="s">
        <v>80</v>
      </c>
      <c r="B37" s="221">
        <v>35292000</v>
      </c>
      <c r="C37" s="34">
        <v>0.1257585529855719</v>
      </c>
      <c r="D37" s="221">
        <v>25</v>
      </c>
      <c r="E37" s="34">
        <f>SUM($D$34:D37)</f>
        <v>85</v>
      </c>
      <c r="G37" s="28" t="s">
        <v>45</v>
      </c>
      <c r="H37" s="130">
        <v>21193000</v>
      </c>
      <c r="I37"/>
      <c r="J37" s="28" t="s">
        <v>42</v>
      </c>
      <c r="K37" s="130">
        <v>1118208.3333333333</v>
      </c>
    </row>
    <row r="38" spans="1:12" x14ac:dyDescent="0.25">
      <c r="A38" s="28" t="s">
        <v>51</v>
      </c>
      <c r="B38" s="221">
        <v>26978000</v>
      </c>
      <c r="C38" s="34">
        <v>9.6132671496224606E-2</v>
      </c>
      <c r="D38" s="221">
        <v>25</v>
      </c>
      <c r="E38" s="34">
        <f>SUM($D$34:D38)</f>
        <v>110</v>
      </c>
      <c r="G38" s="28" t="s">
        <v>64</v>
      </c>
      <c r="H38" s="130">
        <v>25296000</v>
      </c>
      <c r="I38"/>
      <c r="J38" s="28" t="s">
        <v>35</v>
      </c>
      <c r="K38" s="130">
        <v>1216176.4705882352</v>
      </c>
    </row>
    <row r="39" spans="1:12" x14ac:dyDescent="0.25">
      <c r="A39" s="28" t="s">
        <v>21</v>
      </c>
      <c r="B39" s="221">
        <v>34673000</v>
      </c>
      <c r="C39" s="34">
        <v>0.12355282522012735</v>
      </c>
      <c r="D39" s="221">
        <v>25</v>
      </c>
      <c r="E39" s="34">
        <f>SUM($D$34:D39)</f>
        <v>135</v>
      </c>
      <c r="G39" s="28" t="s">
        <v>42</v>
      </c>
      <c r="H39" s="130">
        <v>26837000</v>
      </c>
      <c r="I39"/>
      <c r="J39" s="28" t="s">
        <v>45</v>
      </c>
      <c r="K39" s="130">
        <v>1324562.5</v>
      </c>
    </row>
    <row r="40" spans="1:12" x14ac:dyDescent="0.25">
      <c r="A40" s="28" t="s">
        <v>277</v>
      </c>
      <c r="B40" s="221">
        <v>1999000</v>
      </c>
      <c r="C40" s="34">
        <v>7.1231822344485505E-3</v>
      </c>
      <c r="D40" s="221">
        <v>3</v>
      </c>
      <c r="E40" s="34">
        <f>SUM($D$34:D40)</f>
        <v>138</v>
      </c>
      <c r="G40" s="28" t="s">
        <v>51</v>
      </c>
      <c r="H40" s="130">
        <v>26978000</v>
      </c>
      <c r="I40"/>
      <c r="J40" s="28" t="s">
        <v>16</v>
      </c>
      <c r="K40" s="130">
        <v>1328333.3333333333</v>
      </c>
    </row>
    <row r="41" spans="1:12" x14ac:dyDescent="0.25">
      <c r="A41" s="28" t="s">
        <v>35</v>
      </c>
      <c r="B41" s="221">
        <v>20675000</v>
      </c>
      <c r="C41" s="34">
        <v>7.3672732714969366E-2</v>
      </c>
      <c r="D41" s="221">
        <v>17</v>
      </c>
      <c r="E41" s="34">
        <f>SUM($D$34:D41)</f>
        <v>155</v>
      </c>
      <c r="G41" s="28" t="s">
        <v>21</v>
      </c>
      <c r="H41" s="130">
        <v>34673000</v>
      </c>
      <c r="I41"/>
      <c r="J41" s="28" t="s">
        <v>64</v>
      </c>
      <c r="K41" s="130">
        <v>1331368.4210526317</v>
      </c>
    </row>
    <row r="42" spans="1:12" x14ac:dyDescent="0.25">
      <c r="A42" s="28" t="s">
        <v>16</v>
      </c>
      <c r="B42" s="221">
        <v>35865000</v>
      </c>
      <c r="C42" s="34">
        <v>0.12780036560204966</v>
      </c>
      <c r="D42" s="221">
        <v>27</v>
      </c>
      <c r="E42" s="34">
        <f>SUM($D$34:D42)</f>
        <v>182</v>
      </c>
      <c r="G42" s="28" t="s">
        <v>28</v>
      </c>
      <c r="H42" s="130">
        <v>35026000</v>
      </c>
      <c r="I42"/>
      <c r="J42" s="28" t="s">
        <v>21</v>
      </c>
      <c r="K42" s="130">
        <v>1386920</v>
      </c>
      <c r="L42" s="130"/>
    </row>
    <row r="43" spans="1:12" x14ac:dyDescent="0.25">
      <c r="A43" s="28" t="s">
        <v>28</v>
      </c>
      <c r="B43" s="221">
        <v>35026000</v>
      </c>
      <c r="C43" s="34">
        <v>0.12481069581980736</v>
      </c>
      <c r="D43" s="221">
        <v>22</v>
      </c>
      <c r="E43" s="34">
        <f>SUM($D$34:D43)</f>
        <v>204</v>
      </c>
      <c r="G43" s="28" t="s">
        <v>80</v>
      </c>
      <c r="H43" s="130">
        <v>35292000</v>
      </c>
      <c r="I43"/>
      <c r="J43" s="28" t="s">
        <v>80</v>
      </c>
      <c r="K43" s="130">
        <v>1411680</v>
      </c>
    </row>
    <row r="44" spans="1:12" x14ac:dyDescent="0.25">
      <c r="A44" s="28" t="s">
        <v>45</v>
      </c>
      <c r="B44" s="221">
        <v>21193000</v>
      </c>
      <c r="C44" s="34">
        <v>7.5518559827247686E-2</v>
      </c>
      <c r="D44" s="221">
        <v>16</v>
      </c>
      <c r="E44" s="34">
        <f>SUM($D$34:D44)</f>
        <v>220</v>
      </c>
      <c r="G44" s="28" t="s">
        <v>16</v>
      </c>
      <c r="H44" s="130">
        <v>35865000</v>
      </c>
      <c r="I44"/>
      <c r="J44" s="28" t="s">
        <v>28</v>
      </c>
      <c r="K44" s="130">
        <v>1592090.9090909092</v>
      </c>
    </row>
    <row r="45" spans="1:12" x14ac:dyDescent="0.25">
      <c r="A45" s="28" t="s">
        <v>318</v>
      </c>
      <c r="B45" s="221">
        <v>280633000</v>
      </c>
      <c r="C45" s="34">
        <v>1</v>
      </c>
      <c r="D45" s="221">
        <v>220</v>
      </c>
      <c r="E45" s="34"/>
      <c r="G45" s="28" t="s">
        <v>318</v>
      </c>
      <c r="H45" s="130">
        <v>280633000</v>
      </c>
      <c r="I45"/>
      <c r="J45" s="28" t="s">
        <v>318</v>
      </c>
      <c r="K45" s="130">
        <v>1275604.5454545454</v>
      </c>
    </row>
    <row r="65" spans="1:17" ht="45.75" customHeight="1" x14ac:dyDescent="0.25">
      <c r="A65" s="210" t="s">
        <v>345</v>
      </c>
      <c r="B65" s="210"/>
      <c r="C65" s="210"/>
      <c r="D65" s="210"/>
      <c r="E65" s="210"/>
    </row>
    <row r="66" spans="1:17" ht="45.75" customHeight="1" x14ac:dyDescent="0.25">
      <c r="A66" s="210" t="s">
        <v>346</v>
      </c>
      <c r="B66" s="210"/>
      <c r="C66" s="210"/>
      <c r="D66" s="210"/>
      <c r="E66" s="210"/>
    </row>
    <row r="67" spans="1:17" ht="43.5" customHeight="1" x14ac:dyDescent="0.25">
      <c r="A67" s="210" t="s">
        <v>347</v>
      </c>
      <c r="B67" s="210"/>
      <c r="C67" s="210"/>
      <c r="D67" s="210"/>
      <c r="E67" s="210"/>
    </row>
    <row r="70" spans="1:17" ht="36" x14ac:dyDescent="0.25">
      <c r="A70" s="166" t="s">
        <v>631</v>
      </c>
      <c r="B70" s="166"/>
      <c r="C70" s="166"/>
      <c r="D70" s="166"/>
      <c r="E70" s="166"/>
      <c r="F70" s="166"/>
      <c r="G70" s="166"/>
      <c r="H70" s="166"/>
      <c r="I70" s="166"/>
      <c r="J70" s="166"/>
      <c r="K70" s="166"/>
      <c r="L70" s="166"/>
      <c r="M70" s="168"/>
      <c r="N70" s="169"/>
      <c r="O70" s="169"/>
      <c r="P70" s="169"/>
      <c r="Q70" s="169"/>
    </row>
    <row r="72" spans="1:17" ht="30" customHeight="1" x14ac:dyDescent="0.25">
      <c r="A72" s="214" t="s">
        <v>399</v>
      </c>
      <c r="B72" s="214"/>
      <c r="C72" s="214"/>
      <c r="D72" s="214"/>
      <c r="E72" s="214"/>
      <c r="G72" s="213" t="s">
        <v>397</v>
      </c>
      <c r="H72" s="213"/>
      <c r="I72" s="213"/>
      <c r="J72" s="213"/>
      <c r="K72" s="213"/>
      <c r="M72" s="214" t="s">
        <v>398</v>
      </c>
      <c r="N72" s="214"/>
      <c r="O72" s="214"/>
      <c r="P72" s="214"/>
      <c r="Q72" s="214"/>
    </row>
    <row r="73" spans="1:17" ht="30" x14ac:dyDescent="0.25">
      <c r="A73" s="27" t="s">
        <v>348</v>
      </c>
      <c r="B73" s="19" t="s">
        <v>314</v>
      </c>
      <c r="C73" s="19" t="s">
        <v>351</v>
      </c>
      <c r="D73" s="19" t="s">
        <v>349</v>
      </c>
      <c r="E73" s="19" t="s">
        <v>344</v>
      </c>
      <c r="G73" s="68" t="s">
        <v>352</v>
      </c>
      <c r="H73" s="5" t="s">
        <v>314</v>
      </c>
      <c r="I73" s="5" t="s">
        <v>351</v>
      </c>
      <c r="J73" s="5" t="s">
        <v>350</v>
      </c>
      <c r="K73" s="5" t="s">
        <v>344</v>
      </c>
      <c r="L73" s="5"/>
      <c r="M73" s="69" t="s">
        <v>352</v>
      </c>
      <c r="N73" s="5" t="s">
        <v>314</v>
      </c>
      <c r="O73" s="5" t="s">
        <v>351</v>
      </c>
      <c r="P73" s="5" t="s">
        <v>350</v>
      </c>
      <c r="Q73" s="5" t="s">
        <v>344</v>
      </c>
    </row>
    <row r="74" spans="1:17" ht="30" x14ac:dyDescent="0.25">
      <c r="A74" s="28" t="s">
        <v>31</v>
      </c>
      <c r="B74" s="35">
        <v>81388000</v>
      </c>
      <c r="C74" s="34">
        <v>0.29001578574152004</v>
      </c>
      <c r="D74" s="221">
        <v>740</v>
      </c>
      <c r="E74" s="221">
        <v>50</v>
      </c>
      <c r="G74" s="46" t="s">
        <v>12</v>
      </c>
      <c r="H74" s="72">
        <v>28825000</v>
      </c>
      <c r="I74" s="73">
        <v>0.28446659429586502</v>
      </c>
      <c r="J74" s="222">
        <v>175</v>
      </c>
      <c r="K74" s="222">
        <v>12</v>
      </c>
      <c r="L74" s="5"/>
      <c r="M74" s="45" t="s">
        <v>92</v>
      </c>
      <c r="N74" s="72">
        <v>6630000</v>
      </c>
      <c r="O74" s="73">
        <v>0.24546464272491669</v>
      </c>
      <c r="P74" s="222">
        <v>153</v>
      </c>
      <c r="Q74" s="222">
        <v>11</v>
      </c>
    </row>
    <row r="75" spans="1:17" ht="30" x14ac:dyDescent="0.25">
      <c r="A75" s="28" t="s">
        <v>11</v>
      </c>
      <c r="B75" s="35">
        <v>77171000</v>
      </c>
      <c r="C75" s="34">
        <v>0.27498904262862883</v>
      </c>
      <c r="D75" s="221">
        <v>533</v>
      </c>
      <c r="E75" s="221">
        <v>41</v>
      </c>
      <c r="G75" s="46" t="s">
        <v>121</v>
      </c>
      <c r="H75" s="72">
        <v>19709000</v>
      </c>
      <c r="I75" s="73">
        <v>0.19450310865488996</v>
      </c>
      <c r="J75" s="222">
        <v>146</v>
      </c>
      <c r="K75" s="222">
        <v>11</v>
      </c>
      <c r="L75" s="5"/>
      <c r="M75" s="45" t="s">
        <v>127</v>
      </c>
      <c r="N75" s="72">
        <v>6408000</v>
      </c>
      <c r="O75" s="73">
        <v>0.23724546464272492</v>
      </c>
      <c r="P75" s="222">
        <v>42</v>
      </c>
      <c r="Q75" s="222">
        <v>3</v>
      </c>
    </row>
    <row r="76" spans="1:17" ht="30" x14ac:dyDescent="0.25">
      <c r="A76" s="28" t="s">
        <v>48</v>
      </c>
      <c r="B76" s="35">
        <v>52526000</v>
      </c>
      <c r="C76" s="34">
        <v>0.18716971988326392</v>
      </c>
      <c r="D76" s="221">
        <v>539</v>
      </c>
      <c r="E76" s="221">
        <v>42</v>
      </c>
      <c r="G76" s="46" t="s">
        <v>84</v>
      </c>
      <c r="H76" s="72">
        <v>18355000</v>
      </c>
      <c r="I76" s="73">
        <v>0.18114082700088818</v>
      </c>
      <c r="J76" s="222">
        <v>158</v>
      </c>
      <c r="K76" s="222">
        <v>11</v>
      </c>
      <c r="L76" s="5"/>
      <c r="M76" s="45" t="s">
        <v>117</v>
      </c>
      <c r="N76" s="72">
        <v>5660000</v>
      </c>
      <c r="O76" s="73">
        <v>0.20955201777119586</v>
      </c>
      <c r="P76" s="222">
        <v>79</v>
      </c>
      <c r="Q76" s="222">
        <v>6</v>
      </c>
    </row>
    <row r="77" spans="1:17" ht="30" x14ac:dyDescent="0.25">
      <c r="A77" s="28" t="s">
        <v>17</v>
      </c>
      <c r="B77" s="35">
        <v>34872000</v>
      </c>
      <c r="C77" s="34">
        <v>0.12426193640804895</v>
      </c>
      <c r="D77" s="221">
        <v>611</v>
      </c>
      <c r="E77" s="221">
        <v>46</v>
      </c>
      <c r="G77" s="46" t="s">
        <v>36</v>
      </c>
      <c r="H77" s="72">
        <v>17702000</v>
      </c>
      <c r="I77" s="73">
        <v>0.17469653607026547</v>
      </c>
      <c r="J77" s="222">
        <v>184</v>
      </c>
      <c r="K77" s="222">
        <v>11</v>
      </c>
      <c r="L77" s="5"/>
      <c r="M77" s="45" t="s">
        <v>29</v>
      </c>
      <c r="N77" s="72">
        <v>4178000</v>
      </c>
      <c r="O77" s="73">
        <v>0.15468345057386154</v>
      </c>
      <c r="P77" s="222">
        <v>47</v>
      </c>
      <c r="Q77" s="222">
        <v>5</v>
      </c>
    </row>
    <row r="78" spans="1:17" x14ac:dyDescent="0.25">
      <c r="A78" s="28" t="s">
        <v>55</v>
      </c>
      <c r="B78" s="35">
        <v>34676000</v>
      </c>
      <c r="C78" s="34">
        <v>0.12356351533853824</v>
      </c>
      <c r="D78" s="221">
        <v>576</v>
      </c>
      <c r="E78" s="221">
        <v>41</v>
      </c>
      <c r="G78" s="46" t="s">
        <v>32</v>
      </c>
      <c r="H78" s="72">
        <v>16739000</v>
      </c>
      <c r="I78" s="73">
        <v>0.16519293397809137</v>
      </c>
      <c r="J78" s="222">
        <v>161</v>
      </c>
      <c r="K78" s="222">
        <v>12</v>
      </c>
      <c r="L78" s="5"/>
      <c r="M78" s="45" t="s">
        <v>97</v>
      </c>
      <c r="N78" s="72">
        <v>4134000</v>
      </c>
      <c r="O78" s="73">
        <v>0.15305442428730101</v>
      </c>
      <c r="P78" s="222">
        <v>75</v>
      </c>
      <c r="Q78" s="222">
        <v>6</v>
      </c>
    </row>
    <row r="79" spans="1:17" x14ac:dyDescent="0.25">
      <c r="A79" s="28" t="s">
        <v>318</v>
      </c>
      <c r="B79" s="35">
        <v>280633000</v>
      </c>
      <c r="C79" s="34">
        <v>1</v>
      </c>
      <c r="D79" s="221">
        <v>2999</v>
      </c>
      <c r="E79" s="221">
        <v>220</v>
      </c>
      <c r="G79" s="46" t="s">
        <v>318</v>
      </c>
      <c r="H79" s="72">
        <v>101330000</v>
      </c>
      <c r="I79" s="73">
        <v>1</v>
      </c>
      <c r="J79" s="222">
        <v>824</v>
      </c>
      <c r="K79" s="222">
        <v>57</v>
      </c>
      <c r="L79" s="5"/>
      <c r="M79" s="45" t="s">
        <v>318</v>
      </c>
      <c r="N79" s="72">
        <v>27010000</v>
      </c>
      <c r="O79" s="73">
        <v>1</v>
      </c>
      <c r="P79" s="222">
        <v>396</v>
      </c>
      <c r="Q79" s="222">
        <v>31</v>
      </c>
    </row>
    <row r="81" spans="7:11" x14ac:dyDescent="0.25">
      <c r="G81" s="74" t="s">
        <v>399</v>
      </c>
      <c r="H81" s="74"/>
      <c r="I81" s="126"/>
      <c r="J81" s="126"/>
      <c r="K81" s="126"/>
    </row>
    <row r="82" spans="7:11" x14ac:dyDescent="0.25">
      <c r="G82" s="27" t="s">
        <v>348</v>
      </c>
      <c r="H82" t="s">
        <v>314</v>
      </c>
      <c r="I82"/>
      <c r="J82"/>
      <c r="K82"/>
    </row>
    <row r="83" spans="7:11" x14ac:dyDescent="0.25">
      <c r="G83" s="28" t="s">
        <v>31</v>
      </c>
      <c r="H83" s="130">
        <v>81388000</v>
      </c>
      <c r="I83"/>
      <c r="J83"/>
      <c r="K83"/>
    </row>
    <row r="84" spans="7:11" x14ac:dyDescent="0.25">
      <c r="G84" s="28" t="s">
        <v>11</v>
      </c>
      <c r="H84" s="130">
        <v>77171000</v>
      </c>
      <c r="I84"/>
      <c r="J84"/>
      <c r="K84"/>
    </row>
    <row r="85" spans="7:11" x14ac:dyDescent="0.25">
      <c r="G85" s="28" t="s">
        <v>48</v>
      </c>
      <c r="H85" s="130">
        <v>52526000</v>
      </c>
      <c r="I85"/>
      <c r="J85"/>
      <c r="K85"/>
    </row>
    <row r="86" spans="7:11" x14ac:dyDescent="0.25">
      <c r="G86" s="28" t="s">
        <v>17</v>
      </c>
      <c r="H86" s="130">
        <v>34872000</v>
      </c>
      <c r="I86"/>
      <c r="J86"/>
      <c r="K86"/>
    </row>
    <row r="87" spans="7:11" x14ac:dyDescent="0.25">
      <c r="G87" s="28" t="s">
        <v>55</v>
      </c>
      <c r="H87" s="130">
        <v>34676000</v>
      </c>
      <c r="I87"/>
      <c r="J87"/>
      <c r="K87"/>
    </row>
    <row r="88" spans="7:11" x14ac:dyDescent="0.25">
      <c r="G88" s="28" t="s">
        <v>318</v>
      </c>
      <c r="H88" s="130">
        <v>280633000</v>
      </c>
      <c r="I88"/>
      <c r="J88"/>
      <c r="K88"/>
    </row>
    <row r="98" spans="1:15" x14ac:dyDescent="0.25">
      <c r="B98"/>
      <c r="C98"/>
      <c r="D98"/>
      <c r="E98"/>
    </row>
    <row r="99" spans="1:15" x14ac:dyDescent="0.25">
      <c r="B99"/>
      <c r="C99"/>
      <c r="D99"/>
      <c r="E99"/>
    </row>
    <row r="100" spans="1:15" ht="33" customHeight="1" x14ac:dyDescent="0.25">
      <c r="A100" s="217" t="s">
        <v>353</v>
      </c>
      <c r="B100" s="217"/>
      <c r="C100" s="217"/>
      <c r="D100" s="217"/>
      <c r="E100" s="217"/>
      <c r="F100" s="217"/>
      <c r="G100" s="217"/>
      <c r="H100" s="217"/>
      <c r="I100" s="217"/>
      <c r="J100" s="217"/>
      <c r="K100" s="217"/>
    </row>
    <row r="101" spans="1:15" ht="29.25" customHeight="1" x14ac:dyDescent="0.25">
      <c r="A101" s="210" t="s">
        <v>354</v>
      </c>
      <c r="B101" s="210"/>
      <c r="C101" s="210"/>
      <c r="D101" s="210"/>
      <c r="E101" s="210"/>
      <c r="F101" s="210"/>
      <c r="G101" s="210"/>
      <c r="H101" s="210"/>
      <c r="I101" s="210"/>
      <c r="J101" s="210"/>
      <c r="K101" s="210"/>
    </row>
    <row r="104" spans="1:15" ht="36" x14ac:dyDescent="0.25">
      <c r="A104" s="166" t="s">
        <v>632</v>
      </c>
      <c r="B104" s="167"/>
      <c r="C104" s="167"/>
      <c r="D104" s="167"/>
      <c r="E104" s="167"/>
      <c r="F104" s="167"/>
      <c r="G104" s="167"/>
      <c r="H104" s="167"/>
      <c r="I104" s="167"/>
      <c r="J104" s="167"/>
      <c r="K104" s="167"/>
      <c r="L104" s="167"/>
      <c r="M104" s="167"/>
      <c r="N104" s="166"/>
      <c r="O104" s="166"/>
    </row>
    <row r="106" spans="1:15" ht="30" x14ac:dyDescent="0.25">
      <c r="A106" s="27" t="s">
        <v>356</v>
      </c>
      <c r="B106" s="19" t="s">
        <v>357</v>
      </c>
      <c r="C106" s="19" t="s">
        <v>314</v>
      </c>
      <c r="D106" s="19" t="s">
        <v>351</v>
      </c>
      <c r="E106" s="19" t="s">
        <v>344</v>
      </c>
      <c r="G106" s="27" t="s">
        <v>356</v>
      </c>
      <c r="H106" t="s">
        <v>357</v>
      </c>
      <c r="I106"/>
      <c r="J106"/>
      <c r="K106" s="71" t="s">
        <v>356</v>
      </c>
      <c r="L106" s="47" t="s">
        <v>390</v>
      </c>
      <c r="M106" s="47" t="s">
        <v>314</v>
      </c>
      <c r="N106" s="47" t="s">
        <v>351</v>
      </c>
      <c r="O106" s="47" t="s">
        <v>344</v>
      </c>
    </row>
    <row r="107" spans="1:15" x14ac:dyDescent="0.25">
      <c r="A107" s="28" t="s">
        <v>59</v>
      </c>
      <c r="B107" s="130">
        <v>1760280</v>
      </c>
      <c r="C107" s="130">
        <v>44007000</v>
      </c>
      <c r="D107" s="34">
        <v>0.15681334696917326</v>
      </c>
      <c r="E107" s="19">
        <v>25</v>
      </c>
      <c r="G107" s="28" t="s">
        <v>59</v>
      </c>
      <c r="H107" s="130">
        <v>1760280</v>
      </c>
      <c r="I107"/>
      <c r="J107"/>
      <c r="K107" s="28" t="s">
        <v>59</v>
      </c>
      <c r="L107" s="131">
        <v>1760280</v>
      </c>
      <c r="M107" s="131">
        <v>44007000</v>
      </c>
      <c r="N107" s="132">
        <v>0.15681334696917326</v>
      </c>
      <c r="O107" s="47">
        <v>25</v>
      </c>
    </row>
    <row r="108" spans="1:15" x14ac:dyDescent="0.25">
      <c r="A108" s="28" t="s">
        <v>14</v>
      </c>
      <c r="B108" s="130">
        <v>1310582.6771653544</v>
      </c>
      <c r="C108" s="130">
        <v>166444000</v>
      </c>
      <c r="D108" s="34">
        <v>0.59310202292674064</v>
      </c>
      <c r="E108" s="19">
        <v>127</v>
      </c>
      <c r="G108" s="28" t="s">
        <v>14</v>
      </c>
      <c r="H108" s="130">
        <v>1310582.6771653544</v>
      </c>
      <c r="I108"/>
      <c r="J108"/>
      <c r="K108" s="28" t="s">
        <v>14</v>
      </c>
      <c r="L108" s="131">
        <v>1310582.6771653544</v>
      </c>
      <c r="M108" s="131">
        <v>166444000</v>
      </c>
      <c r="N108" s="132">
        <v>0.59310202292674064</v>
      </c>
      <c r="O108" s="47">
        <v>127</v>
      </c>
    </row>
    <row r="109" spans="1:15" x14ac:dyDescent="0.25">
      <c r="A109" s="28" t="s">
        <v>23</v>
      </c>
      <c r="B109" s="130">
        <v>1032088.2352941176</v>
      </c>
      <c r="C109" s="130">
        <v>70182000</v>
      </c>
      <c r="D109" s="34">
        <v>0.2500846301040861</v>
      </c>
      <c r="E109" s="19">
        <v>68</v>
      </c>
      <c r="G109" s="28" t="s">
        <v>23</v>
      </c>
      <c r="H109" s="130">
        <v>1032088.2352941176</v>
      </c>
      <c r="I109"/>
      <c r="J109"/>
      <c r="K109" s="28" t="s">
        <v>23</v>
      </c>
      <c r="L109" s="131">
        <v>1032088.2352941176</v>
      </c>
      <c r="M109" s="131">
        <v>70182000</v>
      </c>
      <c r="N109" s="132">
        <v>0.2500846301040861</v>
      </c>
      <c r="O109" s="47">
        <v>68</v>
      </c>
    </row>
    <row r="110" spans="1:15" x14ac:dyDescent="0.25">
      <c r="A110" s="28" t="s">
        <v>318</v>
      </c>
      <c r="B110" s="130">
        <v>1275604.5454545454</v>
      </c>
      <c r="C110" s="130">
        <v>280633000</v>
      </c>
      <c r="D110" s="34">
        <v>1</v>
      </c>
      <c r="E110" s="19">
        <v>220</v>
      </c>
      <c r="G110" s="28" t="s">
        <v>318</v>
      </c>
      <c r="H110" s="130">
        <v>1275604.5454545454</v>
      </c>
      <c r="I110"/>
      <c r="J110"/>
      <c r="K110" s="28" t="s">
        <v>318</v>
      </c>
      <c r="L110" s="131">
        <v>1275604.5454545454</v>
      </c>
      <c r="M110" s="131">
        <v>280633000</v>
      </c>
      <c r="N110" s="132">
        <v>1</v>
      </c>
      <c r="O110" s="47">
        <v>220</v>
      </c>
    </row>
    <row r="128" spans="1:6" ht="61.5" customHeight="1" x14ac:dyDescent="0.25">
      <c r="A128" s="210" t="s">
        <v>358</v>
      </c>
      <c r="B128" s="210"/>
      <c r="C128" s="210"/>
      <c r="D128" s="210"/>
      <c r="E128" s="210"/>
      <c r="F128" s="210"/>
    </row>
    <row r="129" spans="1:12" ht="70.5" customHeight="1" x14ac:dyDescent="0.25">
      <c r="A129" s="210" t="s">
        <v>359</v>
      </c>
      <c r="B129" s="210"/>
      <c r="C129" s="210"/>
      <c r="D129" s="210"/>
      <c r="E129" s="210"/>
      <c r="F129" s="210"/>
    </row>
    <row r="130" spans="1:12" ht="80.25" customHeight="1" x14ac:dyDescent="0.25">
      <c r="A130" s="210" t="s">
        <v>363</v>
      </c>
      <c r="B130" s="210"/>
      <c r="C130" s="210"/>
      <c r="D130" s="210"/>
      <c r="E130" s="210"/>
      <c r="F130" s="210"/>
    </row>
    <row r="133" spans="1:12" ht="36" x14ac:dyDescent="0.25">
      <c r="A133" s="166" t="s">
        <v>633</v>
      </c>
      <c r="B133" s="167"/>
      <c r="C133" s="167"/>
      <c r="D133" s="167"/>
      <c r="E133" s="167"/>
      <c r="F133" s="167"/>
      <c r="G133" s="167"/>
      <c r="H133" s="167"/>
      <c r="I133" s="167"/>
      <c r="J133" s="167"/>
      <c r="K133" s="167"/>
      <c r="L133" s="167"/>
    </row>
    <row r="135" spans="1:12" ht="75" x14ac:dyDescent="0.25">
      <c r="A135" s="27" t="s">
        <v>317</v>
      </c>
      <c r="B135" s="19" t="s">
        <v>319</v>
      </c>
      <c r="C135" s="19" t="s">
        <v>355</v>
      </c>
      <c r="D135" s="19" t="s">
        <v>360</v>
      </c>
    </row>
    <row r="136" spans="1:12" x14ac:dyDescent="0.25">
      <c r="A136" s="28" t="s">
        <v>37</v>
      </c>
      <c r="B136" s="35">
        <v>80007000</v>
      </c>
      <c r="C136" s="221">
        <v>57</v>
      </c>
      <c r="D136" s="35">
        <v>1403631.5789473683</v>
      </c>
      <c r="F136" s="37"/>
      <c r="G136" s="35"/>
    </row>
    <row r="137" spans="1:12" x14ac:dyDescent="0.25">
      <c r="A137" s="28" t="s">
        <v>26</v>
      </c>
      <c r="B137" s="35">
        <v>53448000</v>
      </c>
      <c r="C137" s="221">
        <v>41</v>
      </c>
      <c r="D137" s="35">
        <v>1303609.756097561</v>
      </c>
      <c r="F137" s="37"/>
      <c r="G137" s="35"/>
    </row>
    <row r="138" spans="1:12" x14ac:dyDescent="0.25">
      <c r="A138" s="28" t="s">
        <v>33</v>
      </c>
      <c r="B138" s="35">
        <v>51497000</v>
      </c>
      <c r="C138" s="221">
        <v>37</v>
      </c>
      <c r="D138" s="35">
        <v>1391810.8108108109</v>
      </c>
      <c r="F138" s="37"/>
      <c r="G138" s="35"/>
    </row>
    <row r="139" spans="1:12" x14ac:dyDescent="0.25">
      <c r="A139" s="28" t="s">
        <v>19</v>
      </c>
      <c r="B139" s="35">
        <v>48576000</v>
      </c>
      <c r="C139" s="221">
        <v>47</v>
      </c>
      <c r="D139" s="35">
        <v>1033531.914893617</v>
      </c>
      <c r="F139" s="37"/>
      <c r="G139" s="35"/>
    </row>
    <row r="140" spans="1:12" x14ac:dyDescent="0.25">
      <c r="A140" s="28" t="s">
        <v>13</v>
      </c>
      <c r="B140" s="35">
        <v>41401000</v>
      </c>
      <c r="C140" s="221">
        <v>35</v>
      </c>
      <c r="D140" s="35">
        <v>1182885.7142857143</v>
      </c>
      <c r="F140" s="37"/>
      <c r="G140" s="35"/>
    </row>
    <row r="141" spans="1:12" x14ac:dyDescent="0.25">
      <c r="A141" s="28" t="s">
        <v>277</v>
      </c>
      <c r="B141" s="35">
        <v>5704000</v>
      </c>
      <c r="C141" s="221">
        <v>3</v>
      </c>
      <c r="D141" s="35">
        <v>1901333.3333333333</v>
      </c>
      <c r="F141" s="37"/>
      <c r="G141" s="35"/>
    </row>
    <row r="142" spans="1:12" x14ac:dyDescent="0.25">
      <c r="A142" s="28" t="s">
        <v>318</v>
      </c>
      <c r="B142" s="35">
        <v>280633000</v>
      </c>
      <c r="C142" s="221">
        <v>220</v>
      </c>
      <c r="D142" s="35">
        <v>1275604.5454545454</v>
      </c>
    </row>
    <row r="161" spans="1:15" ht="25.5" customHeight="1" x14ac:dyDescent="0.25">
      <c r="A161" s="6" t="s">
        <v>361</v>
      </c>
      <c r="B161" s="6"/>
      <c r="C161" s="6"/>
      <c r="D161" s="6"/>
    </row>
    <row r="162" spans="1:15" ht="15" customHeight="1" x14ac:dyDescent="0.25">
      <c r="A162" s="6" t="s">
        <v>362</v>
      </c>
      <c r="B162" s="6"/>
      <c r="C162" s="6"/>
      <c r="D162" s="6"/>
    </row>
    <row r="165" spans="1:15" ht="36" x14ac:dyDescent="0.25">
      <c r="A165" s="166" t="s">
        <v>634</v>
      </c>
      <c r="B165" s="167"/>
      <c r="C165" s="167"/>
      <c r="D165" s="167"/>
      <c r="E165" s="167"/>
      <c r="F165" s="167"/>
      <c r="G165" s="167"/>
      <c r="H165" s="167"/>
      <c r="I165" s="167"/>
      <c r="J165" s="167"/>
      <c r="K165" s="167"/>
      <c r="L165" s="167"/>
      <c r="M165" s="167"/>
      <c r="N165" s="166"/>
      <c r="O165" s="166"/>
    </row>
    <row r="167" spans="1:15" x14ac:dyDescent="0.25">
      <c r="A167" s="27" t="s">
        <v>319</v>
      </c>
      <c r="B167" s="36" t="s">
        <v>364</v>
      </c>
    </row>
    <row r="168" spans="1:15" ht="30" x14ac:dyDescent="0.25">
      <c r="A168" s="27" t="s">
        <v>317</v>
      </c>
      <c r="B168" s="19" t="s">
        <v>11</v>
      </c>
      <c r="C168" s="19" t="s">
        <v>31</v>
      </c>
      <c r="D168" s="19" t="s">
        <v>17</v>
      </c>
      <c r="E168" s="19" t="s">
        <v>48</v>
      </c>
      <c r="F168" s="19" t="s">
        <v>55</v>
      </c>
      <c r="G168" s="19" t="s">
        <v>318</v>
      </c>
      <c r="J168" s="39" t="s">
        <v>11</v>
      </c>
      <c r="K168" s="39" t="s">
        <v>31</v>
      </c>
      <c r="L168" s="39" t="s">
        <v>17</v>
      </c>
      <c r="M168" s="39" t="s">
        <v>48</v>
      </c>
      <c r="N168" s="32" t="s">
        <v>55</v>
      </c>
    </row>
    <row r="169" spans="1:15" x14ac:dyDescent="0.25">
      <c r="A169" s="28" t="s">
        <v>322</v>
      </c>
      <c r="B169" s="130">
        <v>10420000</v>
      </c>
      <c r="C169" s="130">
        <v>4612000</v>
      </c>
      <c r="D169" s="130">
        <v>4185000</v>
      </c>
      <c r="E169" s="130">
        <v>5024000</v>
      </c>
      <c r="F169" s="130">
        <v>4573000</v>
      </c>
      <c r="G169" s="130">
        <v>28814000</v>
      </c>
      <c r="I169" s="37" t="s">
        <v>322</v>
      </c>
      <c r="J169" s="35">
        <v>10420000</v>
      </c>
      <c r="K169" s="35">
        <v>4612000</v>
      </c>
      <c r="L169" s="35">
        <v>4185000</v>
      </c>
      <c r="M169" s="35">
        <v>5024000</v>
      </c>
      <c r="N169" s="25">
        <v>4573000</v>
      </c>
      <c r="O169" s="25">
        <v>28814000</v>
      </c>
    </row>
    <row r="170" spans="1:15" x14ac:dyDescent="0.25">
      <c r="A170" s="28" t="s">
        <v>323</v>
      </c>
      <c r="B170" s="130">
        <v>11582000</v>
      </c>
      <c r="C170" s="130">
        <v>6853000</v>
      </c>
      <c r="D170" s="130">
        <v>4551000</v>
      </c>
      <c r="E170" s="130">
        <v>2307000</v>
      </c>
      <c r="F170" s="130">
        <v>741000</v>
      </c>
      <c r="G170" s="130">
        <v>26034000</v>
      </c>
      <c r="I170" s="37" t="s">
        <v>323</v>
      </c>
      <c r="J170" s="35">
        <v>11582000</v>
      </c>
      <c r="K170" s="35">
        <v>6853000</v>
      </c>
      <c r="L170" s="35">
        <v>4551000</v>
      </c>
      <c r="M170" s="35">
        <v>2307000</v>
      </c>
      <c r="N170" s="25">
        <v>741000</v>
      </c>
      <c r="O170" s="25">
        <v>26034000</v>
      </c>
    </row>
    <row r="171" spans="1:15" x14ac:dyDescent="0.25">
      <c r="A171" s="28" t="s">
        <v>324</v>
      </c>
      <c r="B171" s="130">
        <v>2115000</v>
      </c>
      <c r="C171" s="130">
        <v>11119000</v>
      </c>
      <c r="D171" s="130">
        <v>2846000</v>
      </c>
      <c r="E171" s="130">
        <v>2200000</v>
      </c>
      <c r="F171" s="130">
        <v>3512000</v>
      </c>
      <c r="G171" s="130">
        <v>21792000</v>
      </c>
      <c r="I171" s="37" t="s">
        <v>324</v>
      </c>
      <c r="J171" s="35">
        <v>2115000</v>
      </c>
      <c r="K171" s="35">
        <v>11119000</v>
      </c>
      <c r="L171" s="35">
        <v>2846000</v>
      </c>
      <c r="M171" s="35">
        <v>2200000</v>
      </c>
      <c r="N171" s="25">
        <v>3512000</v>
      </c>
      <c r="O171" s="25">
        <v>21792000</v>
      </c>
    </row>
    <row r="172" spans="1:15" x14ac:dyDescent="0.25">
      <c r="A172" s="28" t="s">
        <v>325</v>
      </c>
      <c r="B172" s="130">
        <v>2026000</v>
      </c>
      <c r="C172" s="130">
        <v>2975000</v>
      </c>
      <c r="D172" s="130">
        <v>2719000</v>
      </c>
      <c r="E172" s="130">
        <v>6343000</v>
      </c>
      <c r="F172" s="130">
        <v>396000</v>
      </c>
      <c r="G172" s="130">
        <v>14459000</v>
      </c>
      <c r="I172" s="37" t="s">
        <v>325</v>
      </c>
      <c r="J172" s="35">
        <v>2026000</v>
      </c>
      <c r="K172" s="35">
        <v>2975000</v>
      </c>
      <c r="L172" s="35">
        <v>2719000</v>
      </c>
      <c r="M172" s="35">
        <v>6343000</v>
      </c>
      <c r="N172" s="25">
        <v>396000</v>
      </c>
      <c r="O172" s="25">
        <v>14459000</v>
      </c>
    </row>
    <row r="173" spans="1:15" x14ac:dyDescent="0.25">
      <c r="A173" s="28" t="s">
        <v>326</v>
      </c>
      <c r="B173" s="130">
        <v>1330000</v>
      </c>
      <c r="C173" s="130">
        <v>4229000</v>
      </c>
      <c r="D173" s="130">
        <v>1722000</v>
      </c>
      <c r="E173" s="130">
        <v>4345000</v>
      </c>
      <c r="F173" s="130">
        <v>3463000</v>
      </c>
      <c r="G173" s="130">
        <v>15089000</v>
      </c>
      <c r="I173" s="37" t="s">
        <v>326</v>
      </c>
      <c r="J173" s="35">
        <v>1330000</v>
      </c>
      <c r="K173" s="35">
        <v>4229000</v>
      </c>
      <c r="L173" s="35">
        <v>1722000</v>
      </c>
      <c r="M173" s="35">
        <v>4345000</v>
      </c>
      <c r="N173" s="25">
        <v>3463000</v>
      </c>
      <c r="O173" s="25">
        <v>15089000</v>
      </c>
    </row>
    <row r="174" spans="1:15" x14ac:dyDescent="0.25">
      <c r="A174" s="28" t="s">
        <v>327</v>
      </c>
      <c r="B174" s="130">
        <v>0</v>
      </c>
      <c r="C174" s="130">
        <v>7873000</v>
      </c>
      <c r="D174" s="130">
        <v>1721000</v>
      </c>
      <c r="E174" s="130">
        <v>4148000</v>
      </c>
      <c r="F174" s="130">
        <v>3430000</v>
      </c>
      <c r="G174" s="130">
        <v>17172000</v>
      </c>
      <c r="I174" s="37" t="s">
        <v>327</v>
      </c>
      <c r="J174" s="35">
        <v>0</v>
      </c>
      <c r="K174" s="35">
        <v>7873000</v>
      </c>
      <c r="L174" s="35">
        <v>1721000</v>
      </c>
      <c r="M174" s="35">
        <v>4148000</v>
      </c>
      <c r="N174" s="25">
        <v>3430000</v>
      </c>
      <c r="O174" s="25">
        <v>17172000</v>
      </c>
    </row>
    <row r="175" spans="1:15" x14ac:dyDescent="0.25">
      <c r="A175" s="28" t="s">
        <v>328</v>
      </c>
      <c r="B175" s="130">
        <v>1690000</v>
      </c>
      <c r="C175" s="130">
        <v>3930000</v>
      </c>
      <c r="D175" s="130">
        <v>4674000</v>
      </c>
      <c r="E175" s="130">
        <v>2118000</v>
      </c>
      <c r="F175" s="130">
        <v>913000</v>
      </c>
      <c r="G175" s="130">
        <v>13325000</v>
      </c>
      <c r="I175" s="37" t="s">
        <v>328</v>
      </c>
      <c r="J175" s="35">
        <v>1690000</v>
      </c>
      <c r="K175" s="35">
        <v>3930000</v>
      </c>
      <c r="L175" s="35">
        <v>4674000</v>
      </c>
      <c r="M175" s="35">
        <v>2118000</v>
      </c>
      <c r="N175" s="25">
        <v>913000</v>
      </c>
      <c r="O175" s="25">
        <v>13325000</v>
      </c>
    </row>
    <row r="176" spans="1:15" x14ac:dyDescent="0.25">
      <c r="A176" s="28" t="s">
        <v>329</v>
      </c>
      <c r="B176" s="130">
        <v>11280000</v>
      </c>
      <c r="C176" s="130">
        <v>8904000</v>
      </c>
      <c r="D176" s="130">
        <v>2013000</v>
      </c>
      <c r="E176" s="130">
        <v>3511000</v>
      </c>
      <c r="F176" s="130">
        <v>6615000</v>
      </c>
      <c r="G176" s="130">
        <v>32323000</v>
      </c>
      <c r="I176" s="37" t="s">
        <v>329</v>
      </c>
      <c r="J176" s="35">
        <v>11280000</v>
      </c>
      <c r="K176" s="35">
        <v>8904000</v>
      </c>
      <c r="L176" s="35">
        <v>2013000</v>
      </c>
      <c r="M176" s="35">
        <v>3511000</v>
      </c>
      <c r="N176" s="25">
        <v>6615000</v>
      </c>
      <c r="O176" s="25">
        <v>32323000</v>
      </c>
    </row>
    <row r="177" spans="1:15" ht="30" x14ac:dyDescent="0.25">
      <c r="A177" s="28" t="s">
        <v>330</v>
      </c>
      <c r="B177" s="130">
        <v>1590000</v>
      </c>
      <c r="C177" s="130">
        <v>8047000</v>
      </c>
      <c r="D177" s="130">
        <v>1320000</v>
      </c>
      <c r="E177" s="130">
        <v>2984000</v>
      </c>
      <c r="F177" s="130">
        <v>1665000</v>
      </c>
      <c r="G177" s="130">
        <v>15606000</v>
      </c>
      <c r="I177" s="37" t="s">
        <v>330</v>
      </c>
      <c r="J177" s="35">
        <v>1590000</v>
      </c>
      <c r="K177" s="35">
        <v>8047000</v>
      </c>
      <c r="L177" s="35">
        <v>1320000</v>
      </c>
      <c r="M177" s="35">
        <v>2984000</v>
      </c>
      <c r="N177" s="25">
        <v>1665000</v>
      </c>
      <c r="O177" s="25">
        <v>15606000</v>
      </c>
    </row>
    <row r="178" spans="1:15" x14ac:dyDescent="0.25">
      <c r="A178" s="28" t="s">
        <v>331</v>
      </c>
      <c r="B178" s="130">
        <v>14039000</v>
      </c>
      <c r="C178" s="130">
        <v>8780000</v>
      </c>
      <c r="D178" s="130">
        <v>2456000</v>
      </c>
      <c r="E178" s="130">
        <v>8409000</v>
      </c>
      <c r="F178" s="130">
        <v>3059000</v>
      </c>
      <c r="G178" s="130">
        <v>36743000</v>
      </c>
      <c r="I178" s="37" t="s">
        <v>331</v>
      </c>
      <c r="J178" s="35">
        <v>14039000</v>
      </c>
      <c r="K178" s="35">
        <v>8780000</v>
      </c>
      <c r="L178" s="35">
        <v>2456000</v>
      </c>
      <c r="M178" s="35">
        <v>8409000</v>
      </c>
      <c r="N178" s="25">
        <v>3059000</v>
      </c>
      <c r="O178" s="25">
        <v>36743000</v>
      </c>
    </row>
    <row r="179" spans="1:15" ht="30" x14ac:dyDescent="0.25">
      <c r="A179" s="28" t="s">
        <v>332</v>
      </c>
      <c r="B179" s="130">
        <v>15878000</v>
      </c>
      <c r="C179" s="130">
        <v>4402000</v>
      </c>
      <c r="D179" s="130">
        <v>3182000</v>
      </c>
      <c r="E179" s="130">
        <v>4508000</v>
      </c>
      <c r="F179" s="130">
        <v>2163000</v>
      </c>
      <c r="G179" s="130">
        <v>30133000</v>
      </c>
      <c r="I179" s="37" t="s">
        <v>332</v>
      </c>
      <c r="J179" s="35">
        <v>15878000</v>
      </c>
      <c r="K179" s="35">
        <v>4402000</v>
      </c>
      <c r="L179" s="35">
        <v>3182000</v>
      </c>
      <c r="M179" s="35">
        <v>4508000</v>
      </c>
      <c r="N179" s="25">
        <v>2163000</v>
      </c>
      <c r="O179" s="25">
        <v>30133000</v>
      </c>
    </row>
    <row r="180" spans="1:15" x14ac:dyDescent="0.25">
      <c r="A180" s="28" t="s">
        <v>333</v>
      </c>
      <c r="B180" s="130">
        <v>5221000</v>
      </c>
      <c r="C180" s="130">
        <v>9664000</v>
      </c>
      <c r="D180" s="130">
        <v>3483000</v>
      </c>
      <c r="E180" s="130">
        <v>6629000</v>
      </c>
      <c r="F180" s="130">
        <v>4146000</v>
      </c>
      <c r="G180" s="130">
        <v>29143000</v>
      </c>
      <c r="I180" s="37" t="s">
        <v>333</v>
      </c>
      <c r="J180" s="35">
        <v>5221000</v>
      </c>
      <c r="K180" s="35">
        <v>9664000</v>
      </c>
      <c r="L180" s="35">
        <v>3483000</v>
      </c>
      <c r="M180" s="35">
        <v>6629000</v>
      </c>
      <c r="N180" s="25">
        <v>4146000</v>
      </c>
      <c r="O180" s="25">
        <v>29143000</v>
      </c>
    </row>
    <row r="181" spans="1:15" x14ac:dyDescent="0.25">
      <c r="A181" s="28" t="s">
        <v>318</v>
      </c>
      <c r="B181" s="130">
        <v>77171000</v>
      </c>
      <c r="C181" s="130">
        <v>81388000</v>
      </c>
      <c r="D181" s="130">
        <v>34872000</v>
      </c>
      <c r="E181" s="130">
        <v>52526000</v>
      </c>
      <c r="F181" s="130">
        <v>34676000</v>
      </c>
      <c r="G181" s="130">
        <v>280633000</v>
      </c>
      <c r="J181" s="40">
        <v>77171000</v>
      </c>
      <c r="K181" s="40">
        <v>81388000</v>
      </c>
      <c r="L181" s="40">
        <v>34872000</v>
      </c>
      <c r="M181" s="40">
        <v>52526000</v>
      </c>
      <c r="N181" s="33">
        <v>34676000</v>
      </c>
      <c r="O181" s="33">
        <v>280633000</v>
      </c>
    </row>
    <row r="182" spans="1:15" x14ac:dyDescent="0.25">
      <c r="A182" s="28"/>
      <c r="C182" s="35"/>
      <c r="D182" s="35"/>
      <c r="E182" s="35"/>
      <c r="F182" s="35"/>
      <c r="G182" s="35"/>
    </row>
    <row r="183" spans="1:15" ht="29.25" customHeight="1" x14ac:dyDescent="0.25">
      <c r="A183" s="28"/>
      <c r="B183" s="133" t="s">
        <v>348</v>
      </c>
      <c r="C183" s="133" t="s">
        <v>365</v>
      </c>
      <c r="D183" s="133" t="s">
        <v>366</v>
      </c>
      <c r="E183" s="133" t="s">
        <v>367</v>
      </c>
      <c r="F183" s="134" t="s">
        <v>368</v>
      </c>
      <c r="G183" s="35"/>
    </row>
    <row r="184" spans="1:15" x14ac:dyDescent="0.25">
      <c r="A184" s="28"/>
      <c r="B184" s="38" t="s">
        <v>11</v>
      </c>
      <c r="C184" s="19" t="str">
        <f>INDEX(A169:A180,MATCH(MAX(B169:B180),B169:B180,0))</f>
        <v>November</v>
      </c>
      <c r="D184" s="131">
        <f>MAX(B169:B180)</f>
        <v>15878000</v>
      </c>
      <c r="E184" s="135">
        <f>(MAX(B169:B180)/AVERAGE(B169:B180))</f>
        <v>2.4690103795467206</v>
      </c>
      <c r="F184" s="19" t="str">
        <f>INDEX(A169:A180,MATCH(MIN(B169:B180),B169:B180,0))</f>
        <v>June</v>
      </c>
    </row>
    <row r="185" spans="1:15" x14ac:dyDescent="0.25">
      <c r="B185" s="38" t="s">
        <v>31</v>
      </c>
      <c r="C185" s="19" t="str">
        <f>INDEX(A169:A180,MATCH(MAX(C169:C180),C169:C180,0))</f>
        <v>March</v>
      </c>
      <c r="D185" s="131">
        <f>MAX(C169:C180)</f>
        <v>11119000</v>
      </c>
      <c r="E185" s="136">
        <f>(MAX(C169:C180)/AVERAGE(C169:C180))</f>
        <v>1.6394063006831474</v>
      </c>
      <c r="F185" s="19" t="str">
        <f>INDEX(A169:A180,MATCH(MIN(C169:C180),C169:C180,0))</f>
        <v>April</v>
      </c>
    </row>
    <row r="186" spans="1:15" x14ac:dyDescent="0.25">
      <c r="B186" s="38" t="s">
        <v>17</v>
      </c>
      <c r="C186" s="19" t="str">
        <f>INDEX(A169:A180,MATCH(MAX(D169:D180),D169:D180,0))</f>
        <v>July</v>
      </c>
      <c r="D186" s="131">
        <f>MAX(D169:D180)</f>
        <v>4674000</v>
      </c>
      <c r="E186" s="136">
        <f>(MAX(D169:D180)/AVERAGE(D169:D180))</f>
        <v>1.6083964211975224</v>
      </c>
      <c r="F186" s="19" t="str">
        <f>INDEX(A169:A180,MATCH(MIN(D169:D180),D169:D180,0))</f>
        <v>September</v>
      </c>
    </row>
    <row r="187" spans="1:15" x14ac:dyDescent="0.25">
      <c r="B187" s="38" t="s">
        <v>48</v>
      </c>
      <c r="C187" s="19" t="str">
        <f>INDEX(A169:A180,MATCH(MAX(E169:E180),E169:E180,0))</f>
        <v>October</v>
      </c>
      <c r="D187" s="131">
        <f>MAX(E169:E180)</f>
        <v>8409000</v>
      </c>
      <c r="E187" s="137">
        <f>(MAX(E169:E180)/AVERAGE(E169:E180))</f>
        <v>1.9211057381106498</v>
      </c>
      <c r="F187" s="19" t="str">
        <f>INDEX(A169:A180,MATCH(MIN(E169:E180),E169:E180,0))</f>
        <v>July</v>
      </c>
    </row>
    <row r="188" spans="1:15" x14ac:dyDescent="0.25">
      <c r="B188" s="38" t="s">
        <v>55</v>
      </c>
      <c r="C188" s="19" t="str">
        <f>INDEX(A169:A180,MATCH(MAX(F169:F180),F169:F180,0))</f>
        <v>August</v>
      </c>
      <c r="D188" s="131">
        <f>MAX(F173:F185)</f>
        <v>34676000</v>
      </c>
      <c r="E188" s="138">
        <f>(MAX(F169:F180)/AVERAGE(F169:F180))</f>
        <v>2.2891913715538124</v>
      </c>
      <c r="F188" s="19" t="str">
        <f>INDEX(A169:A180,MATCH(MIN(F169:F180),F169:F180,0))</f>
        <v>April</v>
      </c>
    </row>
    <row r="209" spans="1:10" ht="19.5" customHeight="1" x14ac:dyDescent="0.25">
      <c r="A209" s="6" t="s">
        <v>369</v>
      </c>
      <c r="B209" s="6"/>
      <c r="C209" s="6"/>
      <c r="D209" s="6"/>
      <c r="E209" s="6"/>
      <c r="F209" s="6"/>
      <c r="G209" s="6"/>
    </row>
    <row r="210" spans="1:10" ht="15" customHeight="1" x14ac:dyDescent="0.25">
      <c r="A210" s="5" t="s">
        <v>370</v>
      </c>
      <c r="B210" s="5"/>
      <c r="C210" s="5"/>
      <c r="D210" s="5"/>
      <c r="E210" s="5"/>
      <c r="F210" s="5"/>
      <c r="G210" s="5"/>
    </row>
    <row r="211" spans="1:10" x14ac:dyDescent="0.25">
      <c r="A211" t="s">
        <v>371</v>
      </c>
      <c r="B211"/>
      <c r="C211"/>
      <c r="D211"/>
      <c r="E211"/>
      <c r="F211"/>
      <c r="G211"/>
    </row>
    <row r="212" spans="1:10" x14ac:dyDescent="0.25">
      <c r="A212" t="s">
        <v>372</v>
      </c>
      <c r="B212"/>
      <c r="C212"/>
      <c r="D212"/>
      <c r="E212"/>
      <c r="F212"/>
      <c r="G212"/>
    </row>
    <row r="213" spans="1:10" x14ac:dyDescent="0.25">
      <c r="A213" t="s">
        <v>373</v>
      </c>
      <c r="B213"/>
      <c r="C213"/>
      <c r="D213"/>
      <c r="E213"/>
      <c r="F213"/>
      <c r="G213"/>
    </row>
    <row r="216" spans="1:10" ht="36" x14ac:dyDescent="0.25">
      <c r="A216" s="166" t="s">
        <v>512</v>
      </c>
      <c r="B216" s="167"/>
      <c r="C216" s="167"/>
      <c r="D216" s="167"/>
      <c r="E216" s="167"/>
      <c r="F216" s="167"/>
      <c r="G216" s="167"/>
      <c r="H216" s="167"/>
      <c r="I216" s="167"/>
      <c r="J216" s="167"/>
    </row>
    <row r="218" spans="1:10" x14ac:dyDescent="0.25">
      <c r="A218" s="74" t="s">
        <v>400</v>
      </c>
      <c r="B218" s="41"/>
      <c r="C218" s="41"/>
      <c r="D218" s="41"/>
    </row>
    <row r="219" spans="1:10" ht="30" x14ac:dyDescent="0.25">
      <c r="A219" s="27" t="s">
        <v>2</v>
      </c>
      <c r="B219" s="19" t="s">
        <v>314</v>
      </c>
      <c r="C219" s="19" t="s">
        <v>351</v>
      </c>
      <c r="D219" s="41" t="s">
        <v>348</v>
      </c>
      <c r="F219" s="42" t="s">
        <v>348</v>
      </c>
      <c r="G219" s="42" t="s">
        <v>2</v>
      </c>
    </row>
    <row r="220" spans="1:10" ht="16.5" x14ac:dyDescent="0.3">
      <c r="A220" s="28" t="s">
        <v>16</v>
      </c>
      <c r="B220" s="35">
        <v>35865000</v>
      </c>
      <c r="C220" s="34">
        <v>0.12780036560204966</v>
      </c>
      <c r="D220" s="43" t="str">
        <f t="shared" ref="D220:D230" si="0">IF(C33&gt;=AVERAGE($C$33:$C$42)*1.1,"Tinggi",IF(C33&gt;=AVERAGE($C$33:$C$42)*0.8,"Sedang","Rendah"))</f>
        <v>Tinggi</v>
      </c>
      <c r="F220" s="42" t="s">
        <v>374</v>
      </c>
      <c r="G220" s="67" t="str">
        <f t="array" ref="G220">_xlfn.TEXTJOIN(", ",TRUE,IF($D$220:$D$230="Tinggi",$A$220:$A$230,""))</f>
        <v>Semarang, Malang, Jakarta, Denpasar, Nn</v>
      </c>
    </row>
    <row r="221" spans="1:10" ht="16.5" x14ac:dyDescent="0.3">
      <c r="A221" s="28" t="s">
        <v>80</v>
      </c>
      <c r="B221" s="35">
        <v>35292000</v>
      </c>
      <c r="C221" s="34">
        <v>0.1257585529855719</v>
      </c>
      <c r="D221" s="43" t="str">
        <f t="shared" si="0"/>
        <v>Sedang</v>
      </c>
      <c r="F221" s="42" t="s">
        <v>375</v>
      </c>
      <c r="G221" s="67" t="str">
        <f t="array" ref="G221">_xlfn.TEXTJOIN(", ",TRUE,IF($D$220:$D$230="Sedang",$A$220:$A$230,""))</f>
        <v>Makassar, Medan, Bandung, Palembang</v>
      </c>
    </row>
    <row r="222" spans="1:10" ht="16.5" x14ac:dyDescent="0.3">
      <c r="A222" s="28" t="s">
        <v>28</v>
      </c>
      <c r="B222" s="35">
        <v>35026000</v>
      </c>
      <c r="C222" s="34">
        <v>0.12481069581980736</v>
      </c>
      <c r="D222" s="43" t="str">
        <f t="shared" si="0"/>
        <v>Rendah</v>
      </c>
      <c r="F222" s="42" t="s">
        <v>376</v>
      </c>
      <c r="G222" s="67" t="str">
        <f t="array" ref="G222">_xlfn.TEXTJOIN(", ",TRUE,IF($D$220:$D$230="Rendah",$A$220:$A$230,""))</f>
        <v>Surabaya, Yogyakarta</v>
      </c>
    </row>
    <row r="223" spans="1:10" ht="16.5" x14ac:dyDescent="0.3">
      <c r="A223" s="28" t="s">
        <v>21</v>
      </c>
      <c r="B223" s="35">
        <v>34673000</v>
      </c>
      <c r="C223" s="34">
        <v>0.12355282522012735</v>
      </c>
      <c r="D223" s="43" t="str">
        <f t="shared" si="0"/>
        <v>Sedang</v>
      </c>
    </row>
    <row r="224" spans="1:10" ht="16.5" x14ac:dyDescent="0.3">
      <c r="A224" s="28" t="s">
        <v>51</v>
      </c>
      <c r="B224" s="35">
        <v>26978000</v>
      </c>
      <c r="C224" s="34">
        <v>9.6132671496224606E-2</v>
      </c>
      <c r="D224" s="43" t="str">
        <f t="shared" si="0"/>
        <v>Tinggi</v>
      </c>
    </row>
    <row r="225" spans="1:4" ht="16.5" x14ac:dyDescent="0.3">
      <c r="A225" s="28" t="s">
        <v>42</v>
      </c>
      <c r="B225" s="35">
        <v>26837000</v>
      </c>
      <c r="C225" s="34">
        <v>9.5630235930913327E-2</v>
      </c>
      <c r="D225" s="43" t="str">
        <f t="shared" si="0"/>
        <v>Sedang</v>
      </c>
    </row>
    <row r="226" spans="1:4" ht="16.5" x14ac:dyDescent="0.3">
      <c r="A226" s="28" t="s">
        <v>64</v>
      </c>
      <c r="B226" s="35">
        <v>25296000</v>
      </c>
      <c r="C226" s="34">
        <v>9.013907844052553E-2</v>
      </c>
      <c r="D226" s="43" t="str">
        <f t="shared" si="0"/>
        <v>Tinggi</v>
      </c>
    </row>
    <row r="227" spans="1:4" ht="16.5" x14ac:dyDescent="0.3">
      <c r="A227" s="28" t="s">
        <v>45</v>
      </c>
      <c r="B227" s="35">
        <v>21193000</v>
      </c>
      <c r="C227" s="34">
        <v>7.5518559827247686E-2</v>
      </c>
      <c r="D227" s="43" t="str">
        <f t="shared" si="0"/>
        <v>Rendah</v>
      </c>
    </row>
    <row r="228" spans="1:4" ht="16.5" x14ac:dyDescent="0.3">
      <c r="A228" s="28" t="s">
        <v>35</v>
      </c>
      <c r="B228" s="35">
        <v>20675000</v>
      </c>
      <c r="C228" s="34">
        <v>7.3672732714969366E-2</v>
      </c>
      <c r="D228" s="43" t="str">
        <f t="shared" si="0"/>
        <v>Sedang</v>
      </c>
    </row>
    <row r="229" spans="1:4" ht="16.5" x14ac:dyDescent="0.3">
      <c r="A229" s="28" t="s">
        <v>25</v>
      </c>
      <c r="B229" s="35">
        <v>16799000</v>
      </c>
      <c r="C229" s="34">
        <v>5.9861099728114653E-2</v>
      </c>
      <c r="D229" s="43" t="str">
        <f t="shared" si="0"/>
        <v>Tinggi</v>
      </c>
    </row>
    <row r="230" spans="1:4" ht="16.5" x14ac:dyDescent="0.3">
      <c r="A230" s="28" t="s">
        <v>277</v>
      </c>
      <c r="B230" s="35">
        <v>1999000</v>
      </c>
      <c r="C230" s="34">
        <v>7.1231822344485505E-3</v>
      </c>
      <c r="D230" s="43" t="str">
        <f t="shared" si="0"/>
        <v>Tinggi</v>
      </c>
    </row>
    <row r="231" spans="1:4" x14ac:dyDescent="0.25">
      <c r="A231" s="28" t="s">
        <v>318</v>
      </c>
      <c r="B231" s="35">
        <v>280633000</v>
      </c>
      <c r="C231" s="34">
        <v>1</v>
      </c>
    </row>
    <row r="232" spans="1:4" x14ac:dyDescent="0.25">
      <c r="A232" s="28"/>
      <c r="C232" s="34"/>
    </row>
    <row r="233" spans="1:4" x14ac:dyDescent="0.25">
      <c r="A233" s="28" t="s">
        <v>377</v>
      </c>
    </row>
    <row r="234" spans="1:4" x14ac:dyDescent="0.25">
      <c r="A234" s="28" t="s">
        <v>374</v>
      </c>
      <c r="B234" t="s">
        <v>378</v>
      </c>
    </row>
    <row r="235" spans="1:4" x14ac:dyDescent="0.25">
      <c r="B235" t="s">
        <v>379</v>
      </c>
    </row>
    <row r="236" spans="1:4" x14ac:dyDescent="0.25">
      <c r="B236" t="s">
        <v>380</v>
      </c>
    </row>
    <row r="237" spans="1:4" x14ac:dyDescent="0.25">
      <c r="A237" t="s">
        <v>375</v>
      </c>
      <c r="B237" t="s">
        <v>381</v>
      </c>
    </row>
    <row r="238" spans="1:4" x14ac:dyDescent="0.25">
      <c r="B238" t="s">
        <v>382</v>
      </c>
    </row>
    <row r="239" spans="1:4" x14ac:dyDescent="0.25">
      <c r="B239" t="s">
        <v>383</v>
      </c>
    </row>
    <row r="240" spans="1:4" x14ac:dyDescent="0.25">
      <c r="A240" t="s">
        <v>376</v>
      </c>
      <c r="B240" t="s">
        <v>384</v>
      </c>
    </row>
    <row r="241" spans="1:14" x14ac:dyDescent="0.25">
      <c r="B241" t="s">
        <v>385</v>
      </c>
    </row>
    <row r="242" spans="1:14" x14ac:dyDescent="0.25">
      <c r="B242" t="s">
        <v>386</v>
      </c>
    </row>
    <row r="243" spans="1:14" x14ac:dyDescent="0.25">
      <c r="B243"/>
    </row>
    <row r="244" spans="1:14" x14ac:dyDescent="0.25">
      <c r="B244"/>
    </row>
    <row r="245" spans="1:14" ht="36" x14ac:dyDescent="0.25">
      <c r="A245" s="166" t="s">
        <v>635</v>
      </c>
      <c r="B245" s="167"/>
      <c r="C245" s="167"/>
      <c r="D245" s="167"/>
      <c r="E245" s="167"/>
      <c r="F245" s="167"/>
      <c r="G245" s="167"/>
      <c r="H245" s="167"/>
      <c r="I245" s="167"/>
      <c r="J245" s="167"/>
      <c r="K245" s="167"/>
      <c r="L245" s="167"/>
      <c r="M245" s="167"/>
      <c r="N245" s="166"/>
    </row>
    <row r="247" spans="1:14" x14ac:dyDescent="0.25">
      <c r="A247" s="215" t="s">
        <v>387</v>
      </c>
      <c r="B247" s="215"/>
      <c r="C247" s="47"/>
      <c r="D247" s="47"/>
      <c r="E247" s="216" t="s">
        <v>388</v>
      </c>
      <c r="F247" s="216"/>
    </row>
    <row r="248" spans="1:14" x14ac:dyDescent="0.25">
      <c r="A248" s="70" t="s">
        <v>317</v>
      </c>
      <c r="B248" s="47" t="s">
        <v>390</v>
      </c>
      <c r="C248" s="47"/>
      <c r="D248" s="47"/>
      <c r="E248" s="71" t="s">
        <v>348</v>
      </c>
      <c r="F248" s="47" t="s">
        <v>390</v>
      </c>
    </row>
    <row r="249" spans="1:14" x14ac:dyDescent="0.25">
      <c r="A249" s="28" t="s">
        <v>42</v>
      </c>
      <c r="B249" s="35">
        <v>1118208.3333333333</v>
      </c>
      <c r="E249" s="37" t="s">
        <v>11</v>
      </c>
      <c r="F249" s="44">
        <v>1882219.512195122</v>
      </c>
    </row>
    <row r="250" spans="1:14" x14ac:dyDescent="0.25">
      <c r="A250" s="28" t="s">
        <v>25</v>
      </c>
      <c r="B250" s="35">
        <v>988176.4705882353</v>
      </c>
      <c r="E250" s="37" t="s">
        <v>31</v>
      </c>
      <c r="F250" s="44">
        <v>1627760</v>
      </c>
    </row>
    <row r="251" spans="1:14" ht="30" x14ac:dyDescent="0.25">
      <c r="A251" s="28" t="s">
        <v>64</v>
      </c>
      <c r="B251" s="35">
        <v>1331368.4210526317</v>
      </c>
      <c r="E251" s="37" t="s">
        <v>17</v>
      </c>
      <c r="F251" s="44">
        <v>758086.95652173914</v>
      </c>
    </row>
    <row r="252" spans="1:14" x14ac:dyDescent="0.25">
      <c r="A252" s="28" t="s">
        <v>80</v>
      </c>
      <c r="B252" s="35">
        <v>1411680</v>
      </c>
      <c r="E252" s="37" t="s">
        <v>48</v>
      </c>
      <c r="F252" s="44">
        <v>1250619.0476190476</v>
      </c>
    </row>
    <row r="253" spans="1:14" ht="30" x14ac:dyDescent="0.25">
      <c r="A253" s="28" t="s">
        <v>51</v>
      </c>
      <c r="B253" s="35">
        <v>1079120</v>
      </c>
      <c r="E253" s="37" t="s">
        <v>55</v>
      </c>
      <c r="F253" s="44">
        <v>845756.09756097558</v>
      </c>
    </row>
    <row r="254" spans="1:14" ht="30" x14ac:dyDescent="0.25">
      <c r="A254" s="28" t="s">
        <v>21</v>
      </c>
      <c r="B254" s="35">
        <v>1386920</v>
      </c>
      <c r="E254" s="37" t="s">
        <v>318</v>
      </c>
      <c r="F254" s="44">
        <v>1275604.5454545454</v>
      </c>
    </row>
    <row r="255" spans="1:14" x14ac:dyDescent="0.25">
      <c r="A255" s="28" t="s">
        <v>277</v>
      </c>
      <c r="B255" s="35">
        <v>666333.33333333337</v>
      </c>
    </row>
    <row r="256" spans="1:14" x14ac:dyDescent="0.25">
      <c r="A256" s="28" t="s">
        <v>35</v>
      </c>
      <c r="B256" s="35">
        <v>1216176.4705882352</v>
      </c>
    </row>
    <row r="257" spans="1:29" x14ac:dyDescent="0.25">
      <c r="A257" s="28" t="s">
        <v>16</v>
      </c>
      <c r="B257" s="35">
        <v>1328333.3333333333</v>
      </c>
    </row>
    <row r="258" spans="1:29" x14ac:dyDescent="0.25">
      <c r="A258" s="28" t="s">
        <v>28</v>
      </c>
      <c r="B258" s="35">
        <v>1592090.9090909092</v>
      </c>
    </row>
    <row r="259" spans="1:29" x14ac:dyDescent="0.25">
      <c r="A259" s="28" t="s">
        <v>45</v>
      </c>
      <c r="B259" s="35">
        <v>1324562.5</v>
      </c>
    </row>
    <row r="260" spans="1:29" x14ac:dyDescent="0.25">
      <c r="A260" s="28" t="s">
        <v>318</v>
      </c>
      <c r="B260" s="35">
        <v>1275604.5454545454</v>
      </c>
    </row>
    <row r="263" spans="1:29" ht="30" x14ac:dyDescent="0.25">
      <c r="A263" s="62" t="s">
        <v>2</v>
      </c>
      <c r="B263" s="63" t="s">
        <v>3</v>
      </c>
      <c r="C263" s="64" t="s">
        <v>390</v>
      </c>
      <c r="D263" s="64" t="s">
        <v>391</v>
      </c>
      <c r="E263" s="64" t="s">
        <v>314</v>
      </c>
      <c r="F263" s="65" t="s">
        <v>389</v>
      </c>
      <c r="M263"/>
    </row>
    <row r="264" spans="1:29" ht="16.5" x14ac:dyDescent="0.25">
      <c r="A264" s="59" t="s">
        <v>42</v>
      </c>
      <c r="B264" s="58" t="s">
        <v>11</v>
      </c>
      <c r="C264" s="60">
        <v>2276333.3333333335</v>
      </c>
      <c r="D264" s="58">
        <v>3</v>
      </c>
      <c r="E264" s="60">
        <v>6829000</v>
      </c>
      <c r="F264" s="61">
        <f t="shared" ref="F264:F295" si="1">IF(D264&gt;=3,C264,"")</f>
        <v>2276333.3333333335</v>
      </c>
      <c r="L264" s="35"/>
      <c r="N264" s="19"/>
      <c r="O264" s="19"/>
      <c r="P264" s="19"/>
      <c r="Q264" s="19"/>
    </row>
    <row r="265" spans="1:29" ht="16.5" x14ac:dyDescent="0.3">
      <c r="A265" s="59" t="s">
        <v>42</v>
      </c>
      <c r="B265" s="58" t="s">
        <v>31</v>
      </c>
      <c r="C265" s="60">
        <v>1664200</v>
      </c>
      <c r="D265" s="58">
        <v>5</v>
      </c>
      <c r="E265" s="60">
        <v>8321000</v>
      </c>
      <c r="F265" s="61">
        <f t="shared" si="1"/>
        <v>1664200</v>
      </c>
      <c r="L265" s="35"/>
      <c r="M265" s="43"/>
      <c r="N265" s="19"/>
      <c r="O265" s="43"/>
      <c r="P265" s="19"/>
      <c r="Q265" s="43"/>
    </row>
    <row r="266" spans="1:29" ht="16.5" x14ac:dyDescent="0.25">
      <c r="A266" s="59" t="s">
        <v>42</v>
      </c>
      <c r="B266" s="58" t="s">
        <v>17</v>
      </c>
      <c r="C266" s="60">
        <v>652142.85714285716</v>
      </c>
      <c r="D266" s="58">
        <v>7</v>
      </c>
      <c r="E266" s="60">
        <v>4565000</v>
      </c>
      <c r="F266" s="61">
        <f t="shared" si="1"/>
        <v>652142.85714285716</v>
      </c>
      <c r="L266" s="35"/>
      <c r="N266" s="19"/>
      <c r="O266" s="19"/>
      <c r="P266" s="19"/>
      <c r="Q266" s="19"/>
    </row>
    <row r="267" spans="1:29" ht="16.5" x14ac:dyDescent="0.3">
      <c r="A267" s="59" t="s">
        <v>42</v>
      </c>
      <c r="B267" s="58" t="s">
        <v>48</v>
      </c>
      <c r="C267" s="60">
        <v>696500</v>
      </c>
      <c r="D267" s="58">
        <v>4</v>
      </c>
      <c r="E267" s="60">
        <v>2786000</v>
      </c>
      <c r="F267" s="61">
        <f t="shared" si="1"/>
        <v>696500</v>
      </c>
      <c r="L267" s="35"/>
      <c r="T267" s="5"/>
      <c r="U267" s="12"/>
      <c r="V267" s="19"/>
      <c r="W267" s="48"/>
      <c r="X267" s="48"/>
      <c r="Y267" s="48"/>
      <c r="Z267" s="48"/>
      <c r="AA267" s="48"/>
      <c r="AB267" s="48"/>
      <c r="AC267" s="48"/>
    </row>
    <row r="268" spans="1:29" ht="16.5" x14ac:dyDescent="0.3">
      <c r="A268" s="59" t="s">
        <v>42</v>
      </c>
      <c r="B268" s="58" t="s">
        <v>55</v>
      </c>
      <c r="C268" s="60">
        <v>867200</v>
      </c>
      <c r="D268" s="58">
        <v>5</v>
      </c>
      <c r="E268" s="60">
        <v>4336000</v>
      </c>
      <c r="F268" s="61">
        <f t="shared" si="1"/>
        <v>867200</v>
      </c>
      <c r="L268" s="35"/>
      <c r="T268" s="47"/>
      <c r="U268" s="12"/>
      <c r="V268" s="47"/>
      <c r="W268" s="47"/>
      <c r="X268" s="19"/>
      <c r="Y268" s="19"/>
      <c r="Z268" s="19"/>
      <c r="AA268" s="19"/>
      <c r="AB268" s="19"/>
      <c r="AC268" s="19"/>
    </row>
    <row r="269" spans="1:29" ht="16.5" x14ac:dyDescent="0.25">
      <c r="A269" s="59" t="s">
        <v>25</v>
      </c>
      <c r="B269" s="58" t="s">
        <v>11</v>
      </c>
      <c r="C269" s="60">
        <v>1260000</v>
      </c>
      <c r="D269" s="58">
        <v>2</v>
      </c>
      <c r="E269" s="60">
        <v>2520000</v>
      </c>
      <c r="F269" s="61" t="str">
        <f t="shared" si="1"/>
        <v/>
      </c>
      <c r="G269"/>
      <c r="H269" s="212" t="s">
        <v>393</v>
      </c>
      <c r="I269" s="212"/>
      <c r="J269" s="212"/>
      <c r="K269" s="212"/>
      <c r="L269" s="212"/>
      <c r="R269" s="19"/>
      <c r="S269" s="19"/>
      <c r="Y269" s="19"/>
      <c r="Z269" s="19"/>
      <c r="AA269" s="49"/>
      <c r="AB269" s="49"/>
      <c r="AC269" s="19"/>
    </row>
    <row r="270" spans="1:29" ht="30" x14ac:dyDescent="0.25">
      <c r="A270" s="59" t="s">
        <v>25</v>
      </c>
      <c r="B270" s="58" t="s">
        <v>31</v>
      </c>
      <c r="C270" s="60">
        <v>1648600</v>
      </c>
      <c r="D270" s="58">
        <v>5</v>
      </c>
      <c r="E270" s="60">
        <v>8243000</v>
      </c>
      <c r="F270" s="61">
        <f t="shared" si="1"/>
        <v>1648600</v>
      </c>
      <c r="G270"/>
      <c r="H270" s="22" t="s">
        <v>2</v>
      </c>
      <c r="I270" s="22" t="s">
        <v>348</v>
      </c>
      <c r="J270" s="22" t="s">
        <v>390</v>
      </c>
      <c r="K270" s="22" t="s">
        <v>344</v>
      </c>
      <c r="L270" s="22" t="s">
        <v>314</v>
      </c>
      <c r="N270" s="19"/>
      <c r="O270" s="49"/>
      <c r="P270" s="49"/>
      <c r="Q270" s="19"/>
      <c r="R270" s="19"/>
      <c r="S270" s="19"/>
      <c r="T270" s="19"/>
      <c r="U270" s="19"/>
      <c r="V270" s="19"/>
    </row>
    <row r="271" spans="1:29" ht="16.5" x14ac:dyDescent="0.25">
      <c r="A271" s="59" t="s">
        <v>25</v>
      </c>
      <c r="B271" s="58" t="s">
        <v>17</v>
      </c>
      <c r="C271" s="60">
        <v>554800</v>
      </c>
      <c r="D271" s="58">
        <v>5</v>
      </c>
      <c r="E271" s="60">
        <v>2774000</v>
      </c>
      <c r="F271" s="61">
        <f t="shared" si="1"/>
        <v>554800</v>
      </c>
      <c r="G271"/>
      <c r="H271" s="53" t="str">
        <f t="array" ref="H271">INDEX(A264:A315, MATCH(1,(C264:C315=_xlfn.MAXIFS(C264:C315,D264:D315,"&gt;=3"))*(D264:D315&gt;=3),0))</f>
        <v>Surabaya</v>
      </c>
      <c r="I271" s="54" t="str">
        <f t="array" ref="I271">INDEX(B264:B315, MATCH(1,(C264:C315=_xlfn.MAXIFS(C264:C315,D264:D315,"&gt;=3"))*(D264:D315&gt;=3),0))</f>
        <v>Elektronik</v>
      </c>
      <c r="J271" s="51">
        <f>_xlfn.MAXIFS(C264:C315,D264:D315, "&gt;=3")</f>
        <v>2722600</v>
      </c>
      <c r="K271" s="55">
        <f>INDEX($D$264:$D$315, MATCH(LARGE($F$264:$F$315,1),$F$264:$F$315,0))</f>
        <v>5</v>
      </c>
      <c r="L271" s="56">
        <f>INDEX($E$264:$E$315, MATCH(LARGE($F$264:$F$315,1),$F$264:$F$315,0))</f>
        <v>13613000</v>
      </c>
      <c r="M271"/>
    </row>
    <row r="272" spans="1:29" ht="16.5" x14ac:dyDescent="0.3">
      <c r="A272" s="59" t="s">
        <v>25</v>
      </c>
      <c r="B272" s="58" t="s">
        <v>48</v>
      </c>
      <c r="C272" s="60">
        <v>917000</v>
      </c>
      <c r="D272" s="58">
        <v>2</v>
      </c>
      <c r="E272" s="60">
        <v>1834000</v>
      </c>
      <c r="F272" s="61" t="str">
        <f t="shared" si="1"/>
        <v/>
      </c>
      <c r="G272"/>
      <c r="H272" s="53" t="str">
        <f t="array" ref="H272">INDEX(A266:A315,MATCH(LARGE($F$264:$F$315,2),$F$264:$F$315,0))</f>
        <v>Jakarta</v>
      </c>
      <c r="I272" s="57" t="str">
        <f t="array" ref="I272">INDEX(B264:B315,MATCH(LARGE($F$264:$F$315,2),$F$264:$F$315,0))</f>
        <v>Fashion</v>
      </c>
      <c r="J272" s="52">
        <f>LARGE($F$266:$F$315,2)</f>
        <v>2288666.6666666665</v>
      </c>
      <c r="K272" s="55">
        <f>INDEX($D$264:$D$315, MATCH(LARGE($F$264:$F$315,2),$F$264:$F$315,0))</f>
        <v>3</v>
      </c>
      <c r="L272" s="56">
        <f>INDEX($E$264:$E$315, MATCH(LARGE($F$264:$F$315,2),$F$264:$F$315,0))</f>
        <v>6866000</v>
      </c>
      <c r="M272"/>
    </row>
    <row r="273" spans="1:13" ht="33" x14ac:dyDescent="0.3">
      <c r="A273" s="59" t="s">
        <v>25</v>
      </c>
      <c r="B273" s="58" t="s">
        <v>55</v>
      </c>
      <c r="C273" s="60">
        <v>476000</v>
      </c>
      <c r="D273" s="58">
        <v>3</v>
      </c>
      <c r="E273" s="60">
        <v>1428000</v>
      </c>
      <c r="F273" s="61">
        <f t="shared" si="1"/>
        <v>476000</v>
      </c>
      <c r="G273"/>
      <c r="H273" s="53" t="str">
        <f t="array" ref="H273">INDEX(A264:A315,MATCH(LARGE($F$264:$F$315,3),$F$264:$F$315,0))</f>
        <v>Bandung</v>
      </c>
      <c r="I273" s="57" t="str">
        <f t="array" ref="I273">INDEX(B264:B315,MATCH(LARGE($F$264:$F$315,3),$F$264:$F$315,0))</f>
        <v>Elektronik</v>
      </c>
      <c r="J273" s="52">
        <f>LARGE($F$266:$F$315,3)</f>
        <v>2105000</v>
      </c>
      <c r="K273" s="55">
        <f>INDEX($D$264:$D$315, MATCH(LARGE($F$264:$F$315,3),$F$264:$F$315,0))</f>
        <v>3</v>
      </c>
      <c r="L273" s="56">
        <f>INDEX($E$264:$E$315, MATCH(LARGE($F$264:$F$315,3),$F$264:$F$315,0))</f>
        <v>6829000</v>
      </c>
      <c r="M273"/>
    </row>
    <row r="274" spans="1:13" ht="16.5" x14ac:dyDescent="0.3">
      <c r="A274" s="59" t="s">
        <v>64</v>
      </c>
      <c r="B274" s="58" t="s">
        <v>11</v>
      </c>
      <c r="C274" s="60">
        <v>1638833.3333333333</v>
      </c>
      <c r="D274" s="58">
        <v>6</v>
      </c>
      <c r="E274" s="60">
        <v>9833000</v>
      </c>
      <c r="F274" s="61">
        <f t="shared" si="1"/>
        <v>1638833.3333333333</v>
      </c>
      <c r="G274"/>
      <c r="H274" s="53" t="str">
        <f t="array" ref="H274">INDEX(A264:A315,MATCH(LARGE($F$264:$F$315,4),$F$264:$F$315,0))</f>
        <v>Yogyakarta</v>
      </c>
      <c r="I274" s="57" t="str">
        <f t="array" ref="I274">INDEX(B264:B315,MATCH(LARGE($F$264:$F$315,4),$F$264:$F$315,0))</f>
        <v>Olahraga</v>
      </c>
      <c r="J274" s="52">
        <f>LARGE($F$266:$F$315,5)</f>
        <v>1958250</v>
      </c>
      <c r="K274" s="55">
        <f>INDEX($D$264:$D$315, MATCH(LARGE($F$264:$F$315,4),$F$264:$F$315,0))</f>
        <v>3</v>
      </c>
      <c r="L274" s="56">
        <f>INDEX($E$264:$E$315, MATCH(LARGE($F$264:$F$315,4),$F$264:$F$315,0))</f>
        <v>6315000</v>
      </c>
      <c r="M274"/>
    </row>
    <row r="275" spans="1:13" ht="16.5" x14ac:dyDescent="0.3">
      <c r="A275" s="59" t="s">
        <v>64</v>
      </c>
      <c r="B275" s="58" t="s">
        <v>31</v>
      </c>
      <c r="C275" s="60">
        <v>2288666.6666666665</v>
      </c>
      <c r="D275" s="58">
        <v>3</v>
      </c>
      <c r="E275" s="60">
        <v>6866000</v>
      </c>
      <c r="F275" s="61">
        <f t="shared" si="1"/>
        <v>2288666.6666666665</v>
      </c>
      <c r="G275"/>
      <c r="H275" s="53" t="str">
        <f t="array" ref="H275">INDEX(A264:A315,MATCH(LARGE($F$264:$F$315,5),$F$264:$F$315,0))</f>
        <v>Medan</v>
      </c>
      <c r="I275" s="57" t="str">
        <f t="array" ref="I275">INDEX(B264:B315,MATCH(LARGE($F$264:$F$315,5),$F$264:$F$315,0))</f>
        <v>Fashion</v>
      </c>
      <c r="J275" s="52">
        <f>LARGE($F$266:$F$315,4)</f>
        <v>2044666.6666666667</v>
      </c>
      <c r="K275" s="55">
        <f>INDEX($D$264:$D$315, MATCH(LARGE($F$264:$F$315,5),$F$264:$F$315,0))</f>
        <v>3</v>
      </c>
      <c r="L275" s="56">
        <f>INDEX($E$264:$E$315, MATCH(LARGE($F$264:$F$315,5),$F$264:$F$315,0))</f>
        <v>6134000</v>
      </c>
      <c r="M275"/>
    </row>
    <row r="276" spans="1:13" ht="16.5" x14ac:dyDescent="0.25">
      <c r="A276" s="59" t="s">
        <v>64</v>
      </c>
      <c r="B276" s="58" t="s">
        <v>17</v>
      </c>
      <c r="C276" s="60">
        <v>716200</v>
      </c>
      <c r="D276" s="58">
        <v>5</v>
      </c>
      <c r="E276" s="60">
        <v>3581000</v>
      </c>
      <c r="F276" s="61">
        <f t="shared" si="1"/>
        <v>716200</v>
      </c>
      <c r="G276"/>
      <c r="H276"/>
      <c r="I276"/>
      <c r="J276"/>
      <c r="K276"/>
      <c r="L276"/>
      <c r="M276"/>
    </row>
    <row r="277" spans="1:13" ht="16.5" x14ac:dyDescent="0.25">
      <c r="A277" s="59" t="s">
        <v>64</v>
      </c>
      <c r="B277" s="58" t="s">
        <v>48</v>
      </c>
      <c r="C277" s="60">
        <v>1308000</v>
      </c>
      <c r="D277" s="58">
        <v>1</v>
      </c>
      <c r="E277" s="60">
        <v>1308000</v>
      </c>
      <c r="F277" s="61" t="str">
        <f t="shared" si="1"/>
        <v/>
      </c>
      <c r="G277"/>
      <c r="H277" t="s">
        <v>392</v>
      </c>
      <c r="I277"/>
      <c r="J277"/>
      <c r="K277"/>
      <c r="L277"/>
      <c r="M277"/>
    </row>
    <row r="278" spans="1:13" ht="16.5" x14ac:dyDescent="0.25">
      <c r="A278" s="59" t="s">
        <v>64</v>
      </c>
      <c r="B278" s="58" t="s">
        <v>55</v>
      </c>
      <c r="C278" s="60">
        <v>927000</v>
      </c>
      <c r="D278" s="58">
        <v>4</v>
      </c>
      <c r="E278" s="60">
        <v>3708000</v>
      </c>
      <c r="F278" s="61">
        <f t="shared" si="1"/>
        <v>927000</v>
      </c>
      <c r="H278" s="66" t="s">
        <v>394</v>
      </c>
    </row>
    <row r="279" spans="1:13" ht="16.5" x14ac:dyDescent="0.25">
      <c r="A279" s="59" t="s">
        <v>80</v>
      </c>
      <c r="B279" s="58" t="s">
        <v>11</v>
      </c>
      <c r="C279" s="60">
        <v>1268857.142857143</v>
      </c>
      <c r="D279" s="58">
        <v>7</v>
      </c>
      <c r="E279" s="60">
        <v>8882000</v>
      </c>
      <c r="F279" s="61">
        <f t="shared" si="1"/>
        <v>1268857.142857143</v>
      </c>
      <c r="H279" t="s">
        <v>395</v>
      </c>
    </row>
    <row r="280" spans="1:13" ht="16.5" x14ac:dyDescent="0.3">
      <c r="A280" s="59" t="s">
        <v>80</v>
      </c>
      <c r="B280" s="58" t="s">
        <v>31</v>
      </c>
      <c r="C280" s="60">
        <v>1958250</v>
      </c>
      <c r="D280" s="58">
        <v>4</v>
      </c>
      <c r="E280" s="60">
        <v>7833000</v>
      </c>
      <c r="F280" s="61">
        <f t="shared" si="1"/>
        <v>1958250</v>
      </c>
      <c r="H280" t="s">
        <v>396</v>
      </c>
      <c r="L280" s="43"/>
    </row>
    <row r="281" spans="1:13" ht="16.5" x14ac:dyDescent="0.25">
      <c r="A281" s="59" t="s">
        <v>80</v>
      </c>
      <c r="B281" s="58" t="s">
        <v>17</v>
      </c>
      <c r="C281" s="60">
        <v>1062000</v>
      </c>
      <c r="D281" s="58">
        <v>4</v>
      </c>
      <c r="E281" s="60">
        <v>4248000</v>
      </c>
      <c r="F281" s="61">
        <f t="shared" si="1"/>
        <v>1062000</v>
      </c>
      <c r="H281" s="44"/>
    </row>
    <row r="282" spans="1:13" ht="16.5" x14ac:dyDescent="0.25">
      <c r="A282" s="59" t="s">
        <v>80</v>
      </c>
      <c r="B282" s="58" t="s">
        <v>48</v>
      </c>
      <c r="C282" s="60">
        <v>1944750</v>
      </c>
      <c r="D282" s="58">
        <v>4</v>
      </c>
      <c r="E282" s="60">
        <v>7779000</v>
      </c>
      <c r="F282" s="61">
        <f t="shared" si="1"/>
        <v>1944750</v>
      </c>
    </row>
    <row r="283" spans="1:13" ht="16.5" x14ac:dyDescent="0.25">
      <c r="A283" s="59" t="s">
        <v>80</v>
      </c>
      <c r="B283" s="58" t="s">
        <v>55</v>
      </c>
      <c r="C283" s="60">
        <v>1091666.6666666667</v>
      </c>
      <c r="D283" s="58">
        <v>6</v>
      </c>
      <c r="E283" s="60">
        <v>6550000</v>
      </c>
      <c r="F283" s="61">
        <f t="shared" si="1"/>
        <v>1091666.6666666667</v>
      </c>
    </row>
    <row r="284" spans="1:13" ht="16.5" x14ac:dyDescent="0.25">
      <c r="A284" s="59" t="s">
        <v>51</v>
      </c>
      <c r="B284" s="58" t="s">
        <v>11</v>
      </c>
      <c r="C284" s="60">
        <v>1288000</v>
      </c>
      <c r="D284" s="58">
        <v>4</v>
      </c>
      <c r="E284" s="60">
        <v>5152000</v>
      </c>
      <c r="F284" s="61">
        <f t="shared" si="1"/>
        <v>1288000</v>
      </c>
      <c r="H284" s="44"/>
    </row>
    <row r="285" spans="1:13" ht="16.5" x14ac:dyDescent="0.25">
      <c r="A285" s="59" t="s">
        <v>51</v>
      </c>
      <c r="B285" s="58" t="s">
        <v>31</v>
      </c>
      <c r="C285" s="60">
        <v>1128571.4285714286</v>
      </c>
      <c r="D285" s="58">
        <v>7</v>
      </c>
      <c r="E285" s="60">
        <v>7900000</v>
      </c>
      <c r="F285" s="61">
        <f t="shared" si="1"/>
        <v>1128571.4285714286</v>
      </c>
    </row>
    <row r="286" spans="1:13" ht="16.5" x14ac:dyDescent="0.25">
      <c r="A286" s="59" t="s">
        <v>51</v>
      </c>
      <c r="B286" s="58" t="s">
        <v>17</v>
      </c>
      <c r="C286" s="60">
        <v>283333.33333333331</v>
      </c>
      <c r="D286" s="58">
        <v>3</v>
      </c>
      <c r="E286" s="60">
        <v>850000</v>
      </c>
      <c r="F286" s="61">
        <f t="shared" si="1"/>
        <v>283333.33333333331</v>
      </c>
    </row>
    <row r="287" spans="1:13" ht="16.5" x14ac:dyDescent="0.25">
      <c r="A287" s="59" t="s">
        <v>51</v>
      </c>
      <c r="B287" s="58" t="s">
        <v>48</v>
      </c>
      <c r="C287" s="60">
        <v>1585666.6666666667</v>
      </c>
      <c r="D287" s="58">
        <v>6</v>
      </c>
      <c r="E287" s="60">
        <v>9514000</v>
      </c>
      <c r="F287" s="61">
        <f t="shared" si="1"/>
        <v>1585666.6666666667</v>
      </c>
      <c r="H287" s="44"/>
    </row>
    <row r="288" spans="1:13" ht="16.5" x14ac:dyDescent="0.25">
      <c r="A288" s="59" t="s">
        <v>51</v>
      </c>
      <c r="B288" s="58" t="s">
        <v>55</v>
      </c>
      <c r="C288" s="60">
        <v>712400</v>
      </c>
      <c r="D288" s="58">
        <v>5</v>
      </c>
      <c r="E288" s="60">
        <v>3562000</v>
      </c>
      <c r="F288" s="61">
        <f t="shared" si="1"/>
        <v>712400</v>
      </c>
    </row>
    <row r="289" spans="1:8" ht="16.5" x14ac:dyDescent="0.25">
      <c r="A289" s="59" t="s">
        <v>21</v>
      </c>
      <c r="B289" s="58" t="s">
        <v>11</v>
      </c>
      <c r="C289" s="60">
        <v>1833800</v>
      </c>
      <c r="D289" s="58">
        <v>5</v>
      </c>
      <c r="E289" s="60">
        <v>9169000</v>
      </c>
      <c r="F289" s="61">
        <f t="shared" si="1"/>
        <v>1833800</v>
      </c>
    </row>
    <row r="290" spans="1:8" ht="16.5" x14ac:dyDescent="0.25">
      <c r="A290" s="59" t="s">
        <v>21</v>
      </c>
      <c r="B290" s="58" t="s">
        <v>31</v>
      </c>
      <c r="C290" s="60">
        <v>2044666.6666666667</v>
      </c>
      <c r="D290" s="58">
        <v>3</v>
      </c>
      <c r="E290" s="60">
        <v>6134000</v>
      </c>
      <c r="F290" s="61">
        <f t="shared" si="1"/>
        <v>2044666.6666666667</v>
      </c>
      <c r="H290" s="44"/>
    </row>
    <row r="291" spans="1:8" ht="16.5" x14ac:dyDescent="0.25">
      <c r="A291" s="59" t="s">
        <v>21</v>
      </c>
      <c r="B291" s="58" t="s">
        <v>17</v>
      </c>
      <c r="C291" s="60">
        <v>1037714.2857142857</v>
      </c>
      <c r="D291" s="58">
        <v>7</v>
      </c>
      <c r="E291" s="60">
        <v>7264000</v>
      </c>
      <c r="F291" s="61">
        <f t="shared" si="1"/>
        <v>1037714.2857142857</v>
      </c>
    </row>
    <row r="292" spans="1:8" ht="16.5" x14ac:dyDescent="0.25">
      <c r="A292" s="59" t="s">
        <v>21</v>
      </c>
      <c r="B292" s="58" t="s">
        <v>48</v>
      </c>
      <c r="C292" s="60">
        <v>1384666.6666666667</v>
      </c>
      <c r="D292" s="58">
        <v>6</v>
      </c>
      <c r="E292" s="60">
        <v>8308000</v>
      </c>
      <c r="F292" s="61">
        <f t="shared" si="1"/>
        <v>1384666.6666666667</v>
      </c>
    </row>
    <row r="293" spans="1:8" ht="16.5" x14ac:dyDescent="0.25">
      <c r="A293" s="59" t="s">
        <v>21</v>
      </c>
      <c r="B293" s="58" t="s">
        <v>55</v>
      </c>
      <c r="C293" s="60">
        <v>949500</v>
      </c>
      <c r="D293" s="58">
        <v>4</v>
      </c>
      <c r="E293" s="60">
        <v>3798000</v>
      </c>
      <c r="F293" s="61">
        <f t="shared" si="1"/>
        <v>949500</v>
      </c>
      <c r="H293" s="44"/>
    </row>
    <row r="294" spans="1:8" ht="16.5" x14ac:dyDescent="0.25">
      <c r="A294" s="59" t="s">
        <v>277</v>
      </c>
      <c r="B294" s="58" t="s">
        <v>48</v>
      </c>
      <c r="C294" s="60">
        <v>1160000</v>
      </c>
      <c r="D294" s="58">
        <v>1</v>
      </c>
      <c r="E294" s="60">
        <v>1160000</v>
      </c>
      <c r="F294" s="61" t="str">
        <f t="shared" si="1"/>
        <v/>
      </c>
    </row>
    <row r="295" spans="1:8" ht="16.5" x14ac:dyDescent="0.25">
      <c r="A295" s="59" t="s">
        <v>277</v>
      </c>
      <c r="B295" s="58" t="s">
        <v>55</v>
      </c>
      <c r="C295" s="60">
        <v>419500</v>
      </c>
      <c r="D295" s="58">
        <v>2</v>
      </c>
      <c r="E295" s="60">
        <v>839000</v>
      </c>
      <c r="F295" s="61" t="str">
        <f t="shared" si="1"/>
        <v/>
      </c>
    </row>
    <row r="296" spans="1:8" ht="16.5" x14ac:dyDescent="0.25">
      <c r="A296" s="59" t="s">
        <v>35</v>
      </c>
      <c r="B296" s="58" t="s">
        <v>11</v>
      </c>
      <c r="C296" s="60">
        <v>3421500</v>
      </c>
      <c r="D296" s="58">
        <v>2</v>
      </c>
      <c r="E296" s="60">
        <v>6843000</v>
      </c>
      <c r="F296" s="61" t="str">
        <f t="shared" ref="F296:F315" si="2">IF(D296&gt;=3,C296,"")</f>
        <v/>
      </c>
      <c r="H296" s="44"/>
    </row>
    <row r="297" spans="1:8" ht="16.5" x14ac:dyDescent="0.25">
      <c r="A297" s="59" t="s">
        <v>35</v>
      </c>
      <c r="B297" s="58" t="s">
        <v>31</v>
      </c>
      <c r="C297" s="60">
        <v>1482250</v>
      </c>
      <c r="D297" s="58">
        <v>4</v>
      </c>
      <c r="E297" s="60">
        <v>5929000</v>
      </c>
      <c r="F297" s="61">
        <f t="shared" si="2"/>
        <v>1482250</v>
      </c>
    </row>
    <row r="298" spans="1:8" ht="16.5" x14ac:dyDescent="0.25">
      <c r="A298" s="59" t="s">
        <v>35</v>
      </c>
      <c r="B298" s="58" t="s">
        <v>17</v>
      </c>
      <c r="C298" s="60">
        <v>901666.66666666663</v>
      </c>
      <c r="D298" s="58">
        <v>3</v>
      </c>
      <c r="E298" s="60">
        <v>2705000</v>
      </c>
      <c r="F298" s="61">
        <f t="shared" si="2"/>
        <v>901666.66666666663</v>
      </c>
    </row>
    <row r="299" spans="1:8" ht="16.5" x14ac:dyDescent="0.25">
      <c r="A299" s="59" t="s">
        <v>35</v>
      </c>
      <c r="B299" s="58" t="s">
        <v>48</v>
      </c>
      <c r="C299" s="60">
        <v>631800</v>
      </c>
      <c r="D299" s="58">
        <v>5</v>
      </c>
      <c r="E299" s="60">
        <v>3159000</v>
      </c>
      <c r="F299" s="61">
        <f t="shared" si="2"/>
        <v>631800</v>
      </c>
    </row>
    <row r="300" spans="1:8" ht="16.5" x14ac:dyDescent="0.25">
      <c r="A300" s="59" t="s">
        <v>35</v>
      </c>
      <c r="B300" s="58" t="s">
        <v>55</v>
      </c>
      <c r="C300" s="60">
        <v>679666.66666666663</v>
      </c>
      <c r="D300" s="58">
        <v>3</v>
      </c>
      <c r="E300" s="60">
        <v>2039000</v>
      </c>
      <c r="F300" s="61">
        <f t="shared" si="2"/>
        <v>679666.66666666663</v>
      </c>
    </row>
    <row r="301" spans="1:8" ht="16.5" x14ac:dyDescent="0.25">
      <c r="A301" s="59" t="s">
        <v>16</v>
      </c>
      <c r="B301" s="58" t="s">
        <v>11</v>
      </c>
      <c r="C301" s="60">
        <v>1862200</v>
      </c>
      <c r="D301" s="58">
        <v>5</v>
      </c>
      <c r="E301" s="60">
        <v>9311000</v>
      </c>
      <c r="F301" s="61">
        <f t="shared" si="2"/>
        <v>1862200</v>
      </c>
    </row>
    <row r="302" spans="1:8" ht="16.5" x14ac:dyDescent="0.25">
      <c r="A302" s="59" t="s">
        <v>16</v>
      </c>
      <c r="B302" s="58" t="s">
        <v>31</v>
      </c>
      <c r="C302" s="60">
        <v>1722875</v>
      </c>
      <c r="D302" s="58">
        <v>8</v>
      </c>
      <c r="E302" s="60">
        <v>13783000</v>
      </c>
      <c r="F302" s="61">
        <f t="shared" si="2"/>
        <v>1722875</v>
      </c>
    </row>
    <row r="303" spans="1:8" ht="16.5" x14ac:dyDescent="0.25">
      <c r="A303" s="59" t="s">
        <v>16</v>
      </c>
      <c r="B303" s="58" t="s">
        <v>17</v>
      </c>
      <c r="C303" s="60">
        <v>676142.85714285716</v>
      </c>
      <c r="D303" s="58">
        <v>7</v>
      </c>
      <c r="E303" s="60">
        <v>4733000</v>
      </c>
      <c r="F303" s="61">
        <f t="shared" si="2"/>
        <v>676142.85714285716</v>
      </c>
    </row>
    <row r="304" spans="1:8" ht="16.5" x14ac:dyDescent="0.25">
      <c r="A304" s="59" t="s">
        <v>16</v>
      </c>
      <c r="B304" s="58" t="s">
        <v>48</v>
      </c>
      <c r="C304" s="60">
        <v>1145400</v>
      </c>
      <c r="D304" s="58">
        <v>5</v>
      </c>
      <c r="E304" s="60">
        <v>5727000</v>
      </c>
      <c r="F304" s="61">
        <f t="shared" si="2"/>
        <v>1145400</v>
      </c>
    </row>
    <row r="305" spans="1:6" ht="16.5" x14ac:dyDescent="0.25">
      <c r="A305" s="59" t="s">
        <v>16</v>
      </c>
      <c r="B305" s="58" t="s">
        <v>55</v>
      </c>
      <c r="C305" s="60">
        <v>1155500</v>
      </c>
      <c r="D305" s="58">
        <v>2</v>
      </c>
      <c r="E305" s="60">
        <v>2311000</v>
      </c>
      <c r="F305" s="61" t="str">
        <f t="shared" si="2"/>
        <v/>
      </c>
    </row>
    <row r="306" spans="1:6" ht="16.5" x14ac:dyDescent="0.25">
      <c r="A306" s="59" t="s">
        <v>28</v>
      </c>
      <c r="B306" s="58" t="s">
        <v>11</v>
      </c>
      <c r="C306" s="60">
        <v>2722600</v>
      </c>
      <c r="D306" s="58">
        <v>5</v>
      </c>
      <c r="E306" s="60">
        <v>13613000</v>
      </c>
      <c r="F306" s="61">
        <f t="shared" si="2"/>
        <v>2722600</v>
      </c>
    </row>
    <row r="307" spans="1:6" ht="16.5" x14ac:dyDescent="0.25">
      <c r="A307" s="59" t="s">
        <v>28</v>
      </c>
      <c r="B307" s="58" t="s">
        <v>31</v>
      </c>
      <c r="C307" s="60">
        <v>1729333.3333333333</v>
      </c>
      <c r="D307" s="58">
        <v>6</v>
      </c>
      <c r="E307" s="60">
        <v>10376000</v>
      </c>
      <c r="F307" s="61">
        <f t="shared" si="2"/>
        <v>1729333.3333333333</v>
      </c>
    </row>
    <row r="308" spans="1:6" ht="16.5" x14ac:dyDescent="0.25">
      <c r="A308" s="59" t="s">
        <v>28</v>
      </c>
      <c r="B308" s="58" t="s">
        <v>17</v>
      </c>
      <c r="C308" s="60">
        <v>1130666.6666666667</v>
      </c>
      <c r="D308" s="58">
        <v>3</v>
      </c>
      <c r="E308" s="60">
        <v>3392000</v>
      </c>
      <c r="F308" s="61">
        <f t="shared" si="2"/>
        <v>1130666.6666666667</v>
      </c>
    </row>
    <row r="309" spans="1:6" ht="16.5" x14ac:dyDescent="0.25">
      <c r="A309" s="59" t="s">
        <v>28</v>
      </c>
      <c r="B309" s="58" t="s">
        <v>48</v>
      </c>
      <c r="C309" s="60">
        <v>927200</v>
      </c>
      <c r="D309" s="58">
        <v>5</v>
      </c>
      <c r="E309" s="60">
        <v>4636000</v>
      </c>
      <c r="F309" s="61">
        <f t="shared" si="2"/>
        <v>927200</v>
      </c>
    </row>
    <row r="310" spans="1:6" ht="16.5" x14ac:dyDescent="0.25">
      <c r="A310" s="59" t="s">
        <v>28</v>
      </c>
      <c r="B310" s="58" t="s">
        <v>55</v>
      </c>
      <c r="C310" s="60">
        <v>1003000</v>
      </c>
      <c r="D310" s="58">
        <v>3</v>
      </c>
      <c r="E310" s="60">
        <v>3009000</v>
      </c>
      <c r="F310" s="61">
        <f t="shared" si="2"/>
        <v>1003000</v>
      </c>
    </row>
    <row r="311" spans="1:6" ht="16.5" x14ac:dyDescent="0.25">
      <c r="A311" s="59" t="s">
        <v>45</v>
      </c>
      <c r="B311" s="58" t="s">
        <v>11</v>
      </c>
      <c r="C311" s="60">
        <v>2509500</v>
      </c>
      <c r="D311" s="58">
        <v>2</v>
      </c>
      <c r="E311" s="60">
        <v>5019000</v>
      </c>
      <c r="F311" s="61" t="str">
        <f t="shared" si="2"/>
        <v/>
      </c>
    </row>
    <row r="312" spans="1:6" ht="16.5" x14ac:dyDescent="0.25">
      <c r="A312" s="59" t="s">
        <v>45</v>
      </c>
      <c r="B312" s="58" t="s">
        <v>31</v>
      </c>
      <c r="C312" s="60">
        <v>1200600</v>
      </c>
      <c r="D312" s="58">
        <v>5</v>
      </c>
      <c r="E312" s="60">
        <v>6003000</v>
      </c>
      <c r="F312" s="61">
        <f t="shared" si="2"/>
        <v>1200600</v>
      </c>
    </row>
    <row r="313" spans="1:6" ht="16.5" x14ac:dyDescent="0.25">
      <c r="A313" s="59" t="s">
        <v>45</v>
      </c>
      <c r="B313" s="58" t="s">
        <v>17</v>
      </c>
      <c r="C313" s="60">
        <v>380000</v>
      </c>
      <c r="D313" s="58">
        <v>2</v>
      </c>
      <c r="E313" s="60">
        <v>760000</v>
      </c>
      <c r="F313" s="61" t="str">
        <f t="shared" si="2"/>
        <v/>
      </c>
    </row>
    <row r="314" spans="1:6" ht="16.5" x14ac:dyDescent="0.25">
      <c r="A314" s="59" t="s">
        <v>45</v>
      </c>
      <c r="B314" s="58" t="s">
        <v>48</v>
      </c>
      <c r="C314" s="60">
        <v>2105000</v>
      </c>
      <c r="D314" s="58">
        <v>3</v>
      </c>
      <c r="E314" s="60">
        <v>6315000</v>
      </c>
      <c r="F314" s="61">
        <f t="shared" si="2"/>
        <v>2105000</v>
      </c>
    </row>
    <row r="315" spans="1:6" ht="16.5" x14ac:dyDescent="0.25">
      <c r="A315" s="59" t="s">
        <v>45</v>
      </c>
      <c r="B315" s="58" t="s">
        <v>55</v>
      </c>
      <c r="C315" s="60">
        <v>774000</v>
      </c>
      <c r="D315" s="58">
        <v>4</v>
      </c>
      <c r="E315" s="60">
        <v>3096000</v>
      </c>
      <c r="F315" s="61">
        <f t="shared" si="2"/>
        <v>774000</v>
      </c>
    </row>
    <row r="316" spans="1:6" x14ac:dyDescent="0.25">
      <c r="B316"/>
      <c r="C316"/>
      <c r="D316"/>
    </row>
    <row r="317" spans="1:6" x14ac:dyDescent="0.25">
      <c r="B317"/>
      <c r="C317"/>
      <c r="D317"/>
    </row>
    <row r="318" spans="1:6" x14ac:dyDescent="0.25">
      <c r="A318" t="s">
        <v>401</v>
      </c>
      <c r="B318"/>
      <c r="C318"/>
      <c r="D318"/>
    </row>
    <row r="319" spans="1:6" x14ac:dyDescent="0.25">
      <c r="A319" t="s">
        <v>402</v>
      </c>
      <c r="B319"/>
      <c r="C319"/>
      <c r="D319"/>
    </row>
    <row r="320" spans="1:6" x14ac:dyDescent="0.25">
      <c r="A320" t="s">
        <v>403</v>
      </c>
      <c r="B320"/>
      <c r="C320"/>
      <c r="D320"/>
    </row>
    <row r="321" spans="1:4" x14ac:dyDescent="0.25">
      <c r="A321" t="s">
        <v>404</v>
      </c>
      <c r="B321"/>
      <c r="C321"/>
      <c r="D321"/>
    </row>
    <row r="322" spans="1:4" x14ac:dyDescent="0.25">
      <c r="A322" t="s">
        <v>405</v>
      </c>
      <c r="B322"/>
      <c r="C322"/>
      <c r="D322"/>
    </row>
    <row r="323" spans="1:4" x14ac:dyDescent="0.25">
      <c r="A323" t="s">
        <v>406</v>
      </c>
      <c r="B323"/>
      <c r="C323"/>
      <c r="D323"/>
    </row>
    <row r="324" spans="1:4" x14ac:dyDescent="0.25">
      <c r="A324" t="s">
        <v>407</v>
      </c>
      <c r="B324"/>
      <c r="C324"/>
      <c r="D324"/>
    </row>
    <row r="325" spans="1:4" x14ac:dyDescent="0.25">
      <c r="A325" t="s">
        <v>408</v>
      </c>
      <c r="B325"/>
      <c r="C325"/>
      <c r="D325"/>
    </row>
    <row r="326" spans="1:4" x14ac:dyDescent="0.25">
      <c r="B326"/>
      <c r="C326"/>
      <c r="D326"/>
    </row>
    <row r="327" spans="1:4" x14ac:dyDescent="0.25">
      <c r="B327"/>
      <c r="C327"/>
      <c r="D327"/>
    </row>
    <row r="328" spans="1:4" x14ac:dyDescent="0.25">
      <c r="B328"/>
      <c r="C328"/>
      <c r="D328"/>
    </row>
    <row r="329" spans="1:4" x14ac:dyDescent="0.25">
      <c r="B329"/>
      <c r="C329"/>
      <c r="D329"/>
    </row>
    <row r="330" spans="1:4" x14ac:dyDescent="0.25">
      <c r="B330"/>
      <c r="C330"/>
      <c r="D330"/>
    </row>
    <row r="331" spans="1:4" x14ac:dyDescent="0.25">
      <c r="B331"/>
      <c r="C331"/>
      <c r="D331"/>
    </row>
    <row r="332" spans="1:4" x14ac:dyDescent="0.25">
      <c r="B332"/>
      <c r="C332"/>
      <c r="D332"/>
    </row>
    <row r="333" spans="1:4" x14ac:dyDescent="0.25">
      <c r="B333"/>
      <c r="C333"/>
      <c r="D333"/>
    </row>
    <row r="334" spans="1:4" x14ac:dyDescent="0.25">
      <c r="B334"/>
      <c r="C334"/>
      <c r="D334"/>
    </row>
    <row r="335" spans="1:4" x14ac:dyDescent="0.25">
      <c r="B335"/>
      <c r="C335"/>
      <c r="D335"/>
    </row>
    <row r="336" spans="1:4" x14ac:dyDescent="0.25">
      <c r="B336"/>
      <c r="C336"/>
      <c r="D336"/>
    </row>
    <row r="337" spans="2:4" x14ac:dyDescent="0.25">
      <c r="B337"/>
      <c r="C337"/>
      <c r="D337"/>
    </row>
    <row r="338" spans="2:4" x14ac:dyDescent="0.25">
      <c r="B338"/>
      <c r="C338"/>
      <c r="D338"/>
    </row>
    <row r="339" spans="2:4" x14ac:dyDescent="0.25">
      <c r="B339"/>
      <c r="C339"/>
      <c r="D339"/>
    </row>
    <row r="340" spans="2:4" x14ac:dyDescent="0.25">
      <c r="B340"/>
      <c r="C340"/>
      <c r="D340"/>
    </row>
    <row r="341" spans="2:4" x14ac:dyDescent="0.25">
      <c r="B341"/>
      <c r="C341"/>
      <c r="D341"/>
    </row>
    <row r="342" spans="2:4" x14ac:dyDescent="0.25">
      <c r="B342"/>
      <c r="C342"/>
      <c r="D342"/>
    </row>
    <row r="343" spans="2:4" x14ac:dyDescent="0.25">
      <c r="B343"/>
      <c r="C343"/>
      <c r="D343"/>
    </row>
    <row r="344" spans="2:4" x14ac:dyDescent="0.25">
      <c r="B344"/>
      <c r="C344"/>
      <c r="D344"/>
    </row>
    <row r="345" spans="2:4" x14ac:dyDescent="0.25">
      <c r="B345"/>
      <c r="C345"/>
      <c r="D345"/>
    </row>
    <row r="346" spans="2:4" x14ac:dyDescent="0.25">
      <c r="B346"/>
      <c r="C346"/>
      <c r="D346"/>
    </row>
    <row r="347" spans="2:4" x14ac:dyDescent="0.25">
      <c r="B347"/>
      <c r="C347"/>
      <c r="D347"/>
    </row>
    <row r="348" spans="2:4" x14ac:dyDescent="0.25">
      <c r="B348"/>
      <c r="C348"/>
      <c r="D348"/>
    </row>
    <row r="349" spans="2:4" x14ac:dyDescent="0.25">
      <c r="B349"/>
      <c r="C349"/>
      <c r="D349"/>
    </row>
    <row r="350" spans="2:4" x14ac:dyDescent="0.25">
      <c r="B350"/>
      <c r="C350"/>
      <c r="D350"/>
    </row>
    <row r="351" spans="2:4" x14ac:dyDescent="0.25">
      <c r="B351"/>
      <c r="C351"/>
      <c r="D351"/>
    </row>
    <row r="352" spans="2:4" x14ac:dyDescent="0.25">
      <c r="B352"/>
      <c r="C352"/>
      <c r="D352"/>
    </row>
    <row r="353" spans="2:4" x14ac:dyDescent="0.25">
      <c r="B353"/>
      <c r="C353"/>
      <c r="D353"/>
    </row>
    <row r="354" spans="2:4" x14ac:dyDescent="0.25">
      <c r="B354"/>
      <c r="C354"/>
      <c r="D354"/>
    </row>
    <row r="355" spans="2:4" x14ac:dyDescent="0.25">
      <c r="B355"/>
      <c r="C355"/>
      <c r="D355"/>
    </row>
    <row r="356" spans="2:4" x14ac:dyDescent="0.25">
      <c r="B356"/>
      <c r="C356"/>
      <c r="D356"/>
    </row>
    <row r="357" spans="2:4" x14ac:dyDescent="0.25">
      <c r="B357"/>
      <c r="C357"/>
      <c r="D357"/>
    </row>
    <row r="358" spans="2:4" x14ac:dyDescent="0.25">
      <c r="B358"/>
      <c r="C358"/>
      <c r="D358"/>
    </row>
    <row r="359" spans="2:4" x14ac:dyDescent="0.25">
      <c r="B359"/>
      <c r="C359"/>
      <c r="D359"/>
    </row>
    <row r="360" spans="2:4" x14ac:dyDescent="0.25">
      <c r="B360"/>
      <c r="C360"/>
      <c r="D360"/>
    </row>
    <row r="361" spans="2:4" x14ac:dyDescent="0.25">
      <c r="B361"/>
      <c r="C361"/>
      <c r="D361"/>
    </row>
    <row r="362" spans="2:4" x14ac:dyDescent="0.25">
      <c r="B362"/>
      <c r="C362"/>
      <c r="D362"/>
    </row>
    <row r="363" spans="2:4" x14ac:dyDescent="0.25">
      <c r="B363"/>
      <c r="C363"/>
      <c r="D363"/>
    </row>
    <row r="364" spans="2:4" x14ac:dyDescent="0.25">
      <c r="B364"/>
      <c r="C364"/>
      <c r="D364"/>
    </row>
    <row r="365" spans="2:4" x14ac:dyDescent="0.25">
      <c r="B365"/>
      <c r="C365"/>
      <c r="D365"/>
    </row>
    <row r="366" spans="2:4" x14ac:dyDescent="0.25">
      <c r="B366"/>
      <c r="C366"/>
      <c r="D366"/>
    </row>
    <row r="367" spans="2:4" x14ac:dyDescent="0.25">
      <c r="B367"/>
      <c r="C367"/>
      <c r="D367"/>
    </row>
    <row r="368" spans="2:4" x14ac:dyDescent="0.25">
      <c r="B368"/>
      <c r="C368"/>
      <c r="D368"/>
    </row>
    <row r="369" spans="2:4" x14ac:dyDescent="0.25">
      <c r="B369"/>
      <c r="C369"/>
      <c r="D369"/>
    </row>
    <row r="370" spans="2:4" x14ac:dyDescent="0.25">
      <c r="B370"/>
      <c r="C370"/>
      <c r="D370"/>
    </row>
    <row r="371" spans="2:4" x14ac:dyDescent="0.25">
      <c r="B371"/>
      <c r="C371"/>
      <c r="D371"/>
    </row>
    <row r="372" spans="2:4" x14ac:dyDescent="0.25">
      <c r="B372"/>
      <c r="C372"/>
      <c r="D372"/>
    </row>
    <row r="373" spans="2:4" x14ac:dyDescent="0.25">
      <c r="B373"/>
      <c r="C373"/>
      <c r="D373"/>
    </row>
    <row r="374" spans="2:4" x14ac:dyDescent="0.25">
      <c r="B374"/>
      <c r="C374"/>
      <c r="D374"/>
    </row>
    <row r="375" spans="2:4" x14ac:dyDescent="0.25">
      <c r="B375"/>
      <c r="C375"/>
      <c r="D375"/>
    </row>
    <row r="376" spans="2:4" x14ac:dyDescent="0.25">
      <c r="B376"/>
      <c r="C376"/>
      <c r="D376"/>
    </row>
    <row r="377" spans="2:4" x14ac:dyDescent="0.25">
      <c r="B377"/>
      <c r="C377"/>
      <c r="D377"/>
    </row>
    <row r="378" spans="2:4" x14ac:dyDescent="0.25">
      <c r="B378"/>
      <c r="C378"/>
      <c r="D378"/>
    </row>
    <row r="379" spans="2:4" x14ac:dyDescent="0.25">
      <c r="B379"/>
      <c r="C379"/>
      <c r="D379"/>
    </row>
    <row r="380" spans="2:4" x14ac:dyDescent="0.25">
      <c r="B380"/>
      <c r="C380"/>
      <c r="D380"/>
    </row>
    <row r="381" spans="2:4" x14ac:dyDescent="0.25">
      <c r="B381"/>
      <c r="C381"/>
      <c r="D381"/>
    </row>
    <row r="382" spans="2:4" x14ac:dyDescent="0.25">
      <c r="B382"/>
      <c r="C382"/>
      <c r="D382"/>
    </row>
    <row r="383" spans="2:4" x14ac:dyDescent="0.25">
      <c r="B383"/>
      <c r="C383"/>
      <c r="D383"/>
    </row>
    <row r="384" spans="2:4" x14ac:dyDescent="0.25">
      <c r="B384"/>
      <c r="C384"/>
      <c r="D384"/>
    </row>
    <row r="385" spans="2:4" x14ac:dyDescent="0.25">
      <c r="B385"/>
      <c r="C385"/>
      <c r="D385"/>
    </row>
    <row r="386" spans="2:4" x14ac:dyDescent="0.25">
      <c r="B386"/>
      <c r="C386"/>
      <c r="D386"/>
    </row>
    <row r="387" spans="2:4" x14ac:dyDescent="0.25">
      <c r="B387"/>
      <c r="C387"/>
      <c r="D387"/>
    </row>
    <row r="388" spans="2:4" x14ac:dyDescent="0.25">
      <c r="B388"/>
      <c r="C388"/>
      <c r="D388"/>
    </row>
    <row r="389" spans="2:4" x14ac:dyDescent="0.25">
      <c r="B389"/>
      <c r="C389"/>
      <c r="D389"/>
    </row>
    <row r="390" spans="2:4" x14ac:dyDescent="0.25">
      <c r="B390"/>
      <c r="C390"/>
      <c r="D390"/>
    </row>
    <row r="391" spans="2:4" x14ac:dyDescent="0.25">
      <c r="B391"/>
      <c r="C391"/>
      <c r="D391"/>
    </row>
    <row r="392" spans="2:4" x14ac:dyDescent="0.25">
      <c r="B392"/>
      <c r="C392"/>
      <c r="D392"/>
    </row>
    <row r="393" spans="2:4" x14ac:dyDescent="0.25">
      <c r="B393"/>
      <c r="C393"/>
      <c r="D393"/>
    </row>
    <row r="394" spans="2:4" x14ac:dyDescent="0.25">
      <c r="B394"/>
      <c r="C394"/>
      <c r="D394"/>
    </row>
    <row r="395" spans="2:4" x14ac:dyDescent="0.25">
      <c r="B395"/>
      <c r="C395"/>
      <c r="D395"/>
    </row>
    <row r="396" spans="2:4" x14ac:dyDescent="0.25">
      <c r="B396"/>
      <c r="C396"/>
      <c r="D396"/>
    </row>
    <row r="397" spans="2:4" x14ac:dyDescent="0.25">
      <c r="B397"/>
      <c r="C397"/>
      <c r="D397"/>
    </row>
    <row r="398" spans="2:4" x14ac:dyDescent="0.25">
      <c r="B398"/>
      <c r="C398"/>
      <c r="D398"/>
    </row>
    <row r="399" spans="2:4" x14ac:dyDescent="0.25">
      <c r="B399"/>
      <c r="C399"/>
      <c r="D399"/>
    </row>
    <row r="400" spans="2:4" x14ac:dyDescent="0.25">
      <c r="B400"/>
      <c r="C400"/>
      <c r="D400"/>
    </row>
    <row r="401" spans="2:4" x14ac:dyDescent="0.25">
      <c r="B401"/>
      <c r="C401"/>
      <c r="D401"/>
    </row>
    <row r="402" spans="2:4" x14ac:dyDescent="0.25">
      <c r="B402"/>
      <c r="C402"/>
      <c r="D402"/>
    </row>
    <row r="403" spans="2:4" x14ac:dyDescent="0.25">
      <c r="B403"/>
      <c r="C403"/>
      <c r="D403"/>
    </row>
    <row r="404" spans="2:4" x14ac:dyDescent="0.25">
      <c r="B404"/>
      <c r="C404"/>
      <c r="D404"/>
    </row>
    <row r="405" spans="2:4" x14ac:dyDescent="0.25">
      <c r="B405"/>
      <c r="C405"/>
      <c r="D405"/>
    </row>
    <row r="406" spans="2:4" x14ac:dyDescent="0.25">
      <c r="B406"/>
      <c r="C406"/>
      <c r="D406"/>
    </row>
    <row r="407" spans="2:4" x14ac:dyDescent="0.25">
      <c r="B407"/>
      <c r="C407"/>
      <c r="D407"/>
    </row>
    <row r="408" spans="2:4" x14ac:dyDescent="0.25">
      <c r="B408"/>
      <c r="C408"/>
      <c r="D408"/>
    </row>
    <row r="409" spans="2:4" x14ac:dyDescent="0.25">
      <c r="B409"/>
      <c r="C409"/>
      <c r="D409"/>
    </row>
    <row r="410" spans="2:4" x14ac:dyDescent="0.25">
      <c r="B410"/>
      <c r="C410"/>
      <c r="D410"/>
    </row>
    <row r="411" spans="2:4" x14ac:dyDescent="0.25">
      <c r="B411"/>
      <c r="C411"/>
      <c r="D411"/>
    </row>
    <row r="412" spans="2:4" x14ac:dyDescent="0.25">
      <c r="B412"/>
      <c r="C412"/>
      <c r="D412"/>
    </row>
    <row r="413" spans="2:4" x14ac:dyDescent="0.25">
      <c r="B413"/>
      <c r="C413"/>
      <c r="D413"/>
    </row>
    <row r="414" spans="2:4" x14ac:dyDescent="0.25">
      <c r="B414"/>
      <c r="C414"/>
      <c r="D414"/>
    </row>
    <row r="415" spans="2:4" x14ac:dyDescent="0.25">
      <c r="B415"/>
      <c r="C415"/>
      <c r="D415"/>
    </row>
    <row r="416" spans="2:4" x14ac:dyDescent="0.25">
      <c r="B416"/>
      <c r="C416"/>
      <c r="D416"/>
    </row>
    <row r="417" spans="2:4" x14ac:dyDescent="0.25">
      <c r="B417"/>
      <c r="C417"/>
      <c r="D417"/>
    </row>
    <row r="418" spans="2:4" x14ac:dyDescent="0.25">
      <c r="B418"/>
      <c r="C418"/>
      <c r="D418"/>
    </row>
    <row r="419" spans="2:4" x14ac:dyDescent="0.25">
      <c r="B419"/>
      <c r="C419"/>
      <c r="D419"/>
    </row>
    <row r="420" spans="2:4" x14ac:dyDescent="0.25">
      <c r="B420"/>
      <c r="C420"/>
      <c r="D420"/>
    </row>
    <row r="421" spans="2:4" x14ac:dyDescent="0.25">
      <c r="B421"/>
      <c r="C421"/>
      <c r="D421"/>
    </row>
    <row r="422" spans="2:4" x14ac:dyDescent="0.25">
      <c r="B422"/>
      <c r="C422"/>
      <c r="D422"/>
    </row>
    <row r="423" spans="2:4" x14ac:dyDescent="0.25">
      <c r="B423"/>
      <c r="C423"/>
      <c r="D423"/>
    </row>
    <row r="424" spans="2:4" x14ac:dyDescent="0.25">
      <c r="B424"/>
      <c r="C424"/>
      <c r="D424"/>
    </row>
    <row r="425" spans="2:4" x14ac:dyDescent="0.25">
      <c r="B425"/>
      <c r="C425"/>
      <c r="D425"/>
    </row>
    <row r="426" spans="2:4" x14ac:dyDescent="0.25">
      <c r="B426"/>
      <c r="C426"/>
      <c r="D426"/>
    </row>
    <row r="427" spans="2:4" x14ac:dyDescent="0.25">
      <c r="B427"/>
      <c r="C427"/>
      <c r="D427"/>
    </row>
    <row r="428" spans="2:4" x14ac:dyDescent="0.25">
      <c r="B428"/>
      <c r="C428"/>
      <c r="D428"/>
    </row>
    <row r="429" spans="2:4" x14ac:dyDescent="0.25">
      <c r="B429"/>
      <c r="C429"/>
      <c r="D429"/>
    </row>
    <row r="430" spans="2:4" x14ac:dyDescent="0.25">
      <c r="B430"/>
      <c r="C430"/>
      <c r="D430"/>
    </row>
    <row r="431" spans="2:4" x14ac:dyDescent="0.25">
      <c r="B431"/>
      <c r="C431"/>
      <c r="D431"/>
    </row>
    <row r="432" spans="2:4" x14ac:dyDescent="0.25">
      <c r="B432"/>
      <c r="C432"/>
      <c r="D432"/>
    </row>
    <row r="433" spans="2:4" x14ac:dyDescent="0.25">
      <c r="B433"/>
      <c r="C433"/>
      <c r="D433"/>
    </row>
    <row r="434" spans="2:4" x14ac:dyDescent="0.25">
      <c r="B434"/>
      <c r="C434"/>
      <c r="D434"/>
    </row>
    <row r="435" spans="2:4" x14ac:dyDescent="0.25">
      <c r="B435"/>
      <c r="C435"/>
      <c r="D435"/>
    </row>
    <row r="436" spans="2:4" x14ac:dyDescent="0.25">
      <c r="B436"/>
      <c r="C436"/>
      <c r="D436"/>
    </row>
    <row r="437" spans="2:4" x14ac:dyDescent="0.25">
      <c r="B437"/>
      <c r="C437"/>
      <c r="D437"/>
    </row>
    <row r="438" spans="2:4" x14ac:dyDescent="0.25">
      <c r="B438"/>
      <c r="C438"/>
      <c r="D438"/>
    </row>
    <row r="439" spans="2:4" x14ac:dyDescent="0.25">
      <c r="B439"/>
      <c r="C439"/>
      <c r="D439"/>
    </row>
    <row r="440" spans="2:4" x14ac:dyDescent="0.25">
      <c r="B440"/>
      <c r="C440"/>
      <c r="D440"/>
    </row>
    <row r="441" spans="2:4" x14ac:dyDescent="0.25">
      <c r="B441"/>
      <c r="C441"/>
      <c r="D441"/>
    </row>
    <row r="442" spans="2:4" x14ac:dyDescent="0.25">
      <c r="B442"/>
      <c r="C442"/>
      <c r="D442"/>
    </row>
    <row r="443" spans="2:4" x14ac:dyDescent="0.25">
      <c r="B443"/>
      <c r="C443"/>
      <c r="D443"/>
    </row>
    <row r="444" spans="2:4" x14ac:dyDescent="0.25">
      <c r="B444"/>
      <c r="C444"/>
      <c r="D444"/>
    </row>
    <row r="445" spans="2:4" x14ac:dyDescent="0.25">
      <c r="B445"/>
      <c r="C445"/>
      <c r="D445"/>
    </row>
    <row r="446" spans="2:4" x14ac:dyDescent="0.25">
      <c r="B446"/>
      <c r="C446"/>
      <c r="D446"/>
    </row>
    <row r="447" spans="2:4" x14ac:dyDescent="0.25">
      <c r="B447"/>
      <c r="C447"/>
      <c r="D447"/>
    </row>
    <row r="448" spans="2:4" x14ac:dyDescent="0.25">
      <c r="B448"/>
      <c r="C448"/>
      <c r="D448"/>
    </row>
    <row r="449" spans="2:4" x14ac:dyDescent="0.25">
      <c r="B449"/>
      <c r="C449"/>
      <c r="D449"/>
    </row>
    <row r="450" spans="2:4" x14ac:dyDescent="0.25">
      <c r="B450"/>
      <c r="C450"/>
      <c r="D450"/>
    </row>
    <row r="451" spans="2:4" x14ac:dyDescent="0.25">
      <c r="B451"/>
      <c r="C451"/>
      <c r="D451"/>
    </row>
    <row r="452" spans="2:4" x14ac:dyDescent="0.25">
      <c r="B452"/>
      <c r="C452"/>
      <c r="D452"/>
    </row>
    <row r="453" spans="2:4" x14ac:dyDescent="0.25">
      <c r="B453"/>
      <c r="C453"/>
      <c r="D453"/>
    </row>
    <row r="454" spans="2:4" x14ac:dyDescent="0.25">
      <c r="B454"/>
      <c r="C454"/>
      <c r="D454"/>
    </row>
    <row r="455" spans="2:4" x14ac:dyDescent="0.25">
      <c r="B455"/>
      <c r="C455"/>
      <c r="D455"/>
    </row>
    <row r="456" spans="2:4" x14ac:dyDescent="0.25">
      <c r="B456"/>
      <c r="C456"/>
      <c r="D456"/>
    </row>
    <row r="457" spans="2:4" x14ac:dyDescent="0.25">
      <c r="B457"/>
      <c r="C457"/>
      <c r="D457"/>
    </row>
    <row r="458" spans="2:4" x14ac:dyDescent="0.25">
      <c r="B458"/>
      <c r="C458"/>
      <c r="D458"/>
    </row>
    <row r="459" spans="2:4" x14ac:dyDescent="0.25">
      <c r="B459"/>
      <c r="C459"/>
      <c r="D459"/>
    </row>
    <row r="460" spans="2:4" x14ac:dyDescent="0.25">
      <c r="B460"/>
      <c r="C460"/>
      <c r="D460"/>
    </row>
    <row r="461" spans="2:4" x14ac:dyDescent="0.25">
      <c r="B461"/>
      <c r="C461"/>
      <c r="D461"/>
    </row>
    <row r="462" spans="2:4" x14ac:dyDescent="0.25">
      <c r="B462"/>
      <c r="C462"/>
      <c r="D462"/>
    </row>
    <row r="463" spans="2:4" x14ac:dyDescent="0.25">
      <c r="B463"/>
      <c r="C463"/>
      <c r="D463"/>
    </row>
    <row r="464" spans="2:4" x14ac:dyDescent="0.25">
      <c r="B464"/>
      <c r="C464"/>
      <c r="D464"/>
    </row>
    <row r="465" spans="2:4" x14ac:dyDescent="0.25">
      <c r="B465"/>
      <c r="C465"/>
      <c r="D465"/>
    </row>
    <row r="466" spans="2:4" x14ac:dyDescent="0.25">
      <c r="B466"/>
      <c r="C466"/>
      <c r="D466"/>
    </row>
    <row r="467" spans="2:4" x14ac:dyDescent="0.25">
      <c r="B467"/>
      <c r="C467"/>
      <c r="D467"/>
    </row>
    <row r="468" spans="2:4" x14ac:dyDescent="0.25">
      <c r="B468"/>
      <c r="C468"/>
      <c r="D468"/>
    </row>
    <row r="469" spans="2:4" x14ac:dyDescent="0.25">
      <c r="B469"/>
      <c r="C469"/>
      <c r="D469"/>
    </row>
    <row r="470" spans="2:4" x14ac:dyDescent="0.25">
      <c r="B470"/>
      <c r="C470"/>
      <c r="D470"/>
    </row>
    <row r="471" spans="2:4" x14ac:dyDescent="0.25">
      <c r="B471"/>
      <c r="C471"/>
      <c r="D471"/>
    </row>
    <row r="472" spans="2:4" x14ac:dyDescent="0.25">
      <c r="B472"/>
      <c r="C472"/>
      <c r="D472"/>
    </row>
    <row r="473" spans="2:4" x14ac:dyDescent="0.25">
      <c r="B473"/>
      <c r="C473"/>
      <c r="D473"/>
    </row>
    <row r="474" spans="2:4" x14ac:dyDescent="0.25">
      <c r="B474"/>
      <c r="C474"/>
      <c r="D474"/>
    </row>
    <row r="475" spans="2:4" x14ac:dyDescent="0.25">
      <c r="B475"/>
      <c r="C475"/>
      <c r="D475"/>
    </row>
    <row r="476" spans="2:4" x14ac:dyDescent="0.25">
      <c r="B476"/>
      <c r="C476"/>
      <c r="D476"/>
    </row>
    <row r="477" spans="2:4" x14ac:dyDescent="0.25">
      <c r="B477"/>
      <c r="C477"/>
      <c r="D477"/>
    </row>
    <row r="478" spans="2:4" x14ac:dyDescent="0.25">
      <c r="B478"/>
      <c r="C478"/>
      <c r="D478"/>
    </row>
    <row r="479" spans="2:4" x14ac:dyDescent="0.25">
      <c r="B479"/>
      <c r="C479"/>
      <c r="D479"/>
    </row>
    <row r="480" spans="2:4" x14ac:dyDescent="0.25">
      <c r="B480"/>
      <c r="C480"/>
      <c r="D480"/>
    </row>
    <row r="481" spans="2:4" x14ac:dyDescent="0.25">
      <c r="B481"/>
      <c r="C481"/>
      <c r="D481"/>
    </row>
    <row r="482" spans="2:4" x14ac:dyDescent="0.25">
      <c r="B482"/>
      <c r="C482"/>
      <c r="D482"/>
    </row>
    <row r="483" spans="2:4" x14ac:dyDescent="0.25">
      <c r="B483"/>
      <c r="C483"/>
      <c r="D483"/>
    </row>
    <row r="484" spans="2:4" x14ac:dyDescent="0.25">
      <c r="B484"/>
      <c r="C484"/>
      <c r="D484"/>
    </row>
    <row r="485" spans="2:4" x14ac:dyDescent="0.25">
      <c r="B485"/>
      <c r="C485"/>
      <c r="D485"/>
    </row>
    <row r="486" spans="2:4" x14ac:dyDescent="0.25">
      <c r="B486"/>
      <c r="C486"/>
      <c r="D486"/>
    </row>
    <row r="487" spans="2:4" x14ac:dyDescent="0.25">
      <c r="B487"/>
      <c r="C487"/>
      <c r="D487"/>
    </row>
    <row r="488" spans="2:4" x14ac:dyDescent="0.25">
      <c r="B488"/>
      <c r="C488"/>
      <c r="D488"/>
    </row>
    <row r="489" spans="2:4" x14ac:dyDescent="0.25">
      <c r="B489"/>
      <c r="C489"/>
      <c r="D489"/>
    </row>
    <row r="490" spans="2:4" x14ac:dyDescent="0.25">
      <c r="B490"/>
      <c r="C490"/>
      <c r="D490"/>
    </row>
    <row r="491" spans="2:4" x14ac:dyDescent="0.25">
      <c r="B491"/>
      <c r="C491"/>
      <c r="D491"/>
    </row>
    <row r="492" spans="2:4" x14ac:dyDescent="0.25">
      <c r="B492"/>
      <c r="C492"/>
      <c r="D492"/>
    </row>
    <row r="493" spans="2:4" x14ac:dyDescent="0.25">
      <c r="B493"/>
      <c r="C493"/>
      <c r="D493"/>
    </row>
    <row r="494" spans="2:4" x14ac:dyDescent="0.25">
      <c r="B494"/>
      <c r="C494"/>
      <c r="D494"/>
    </row>
    <row r="495" spans="2:4" x14ac:dyDescent="0.25">
      <c r="B495"/>
      <c r="C495"/>
      <c r="D495"/>
    </row>
    <row r="496" spans="2:4" x14ac:dyDescent="0.25">
      <c r="B496"/>
      <c r="C496"/>
      <c r="D496"/>
    </row>
    <row r="497" spans="2:4" x14ac:dyDescent="0.25">
      <c r="B497"/>
      <c r="C497"/>
      <c r="D497"/>
    </row>
    <row r="498" spans="2:4" x14ac:dyDescent="0.25">
      <c r="B498"/>
      <c r="C498"/>
      <c r="D498"/>
    </row>
    <row r="499" spans="2:4" x14ac:dyDescent="0.25">
      <c r="B499"/>
      <c r="C499"/>
      <c r="D499"/>
    </row>
    <row r="500" spans="2:4" x14ac:dyDescent="0.25">
      <c r="B500"/>
      <c r="C500"/>
      <c r="D500"/>
    </row>
    <row r="501" spans="2:4" x14ac:dyDescent="0.25">
      <c r="B501"/>
      <c r="C501"/>
      <c r="D501"/>
    </row>
    <row r="502" spans="2:4" x14ac:dyDescent="0.25">
      <c r="B502"/>
      <c r="C502"/>
      <c r="D502"/>
    </row>
    <row r="503" spans="2:4" x14ac:dyDescent="0.25">
      <c r="B503"/>
      <c r="C503"/>
      <c r="D503"/>
    </row>
    <row r="504" spans="2:4" x14ac:dyDescent="0.25">
      <c r="B504"/>
      <c r="C504"/>
      <c r="D504"/>
    </row>
    <row r="505" spans="2:4" x14ac:dyDescent="0.25">
      <c r="B505"/>
      <c r="C505"/>
      <c r="D505"/>
    </row>
    <row r="506" spans="2:4" x14ac:dyDescent="0.25">
      <c r="B506"/>
      <c r="C506"/>
      <c r="D506"/>
    </row>
    <row r="507" spans="2:4" x14ac:dyDescent="0.25">
      <c r="B507"/>
      <c r="C507"/>
      <c r="D507"/>
    </row>
    <row r="508" spans="2:4" x14ac:dyDescent="0.25">
      <c r="B508"/>
      <c r="C508"/>
      <c r="D508"/>
    </row>
    <row r="509" spans="2:4" x14ac:dyDescent="0.25">
      <c r="B509"/>
      <c r="C509"/>
      <c r="D509"/>
    </row>
    <row r="510" spans="2:4" x14ac:dyDescent="0.25">
      <c r="B510"/>
      <c r="C510"/>
      <c r="D510"/>
    </row>
    <row r="511" spans="2:4" x14ac:dyDescent="0.25">
      <c r="B511"/>
      <c r="C511"/>
      <c r="D511"/>
    </row>
    <row r="512" spans="2:4" x14ac:dyDescent="0.25">
      <c r="B512"/>
      <c r="C512"/>
      <c r="D512"/>
    </row>
    <row r="513" spans="2:4" x14ac:dyDescent="0.25">
      <c r="B513"/>
      <c r="C513"/>
      <c r="D513"/>
    </row>
    <row r="514" spans="2:4" x14ac:dyDescent="0.25">
      <c r="B514"/>
      <c r="C514"/>
      <c r="D514"/>
    </row>
    <row r="515" spans="2:4" x14ac:dyDescent="0.25">
      <c r="B515"/>
      <c r="C515"/>
      <c r="D515"/>
    </row>
    <row r="516" spans="2:4" x14ac:dyDescent="0.25">
      <c r="B516"/>
      <c r="C516"/>
      <c r="D516"/>
    </row>
    <row r="517" spans="2:4" x14ac:dyDescent="0.25">
      <c r="B517"/>
      <c r="C517"/>
      <c r="D517"/>
    </row>
    <row r="518" spans="2:4" x14ac:dyDescent="0.25">
      <c r="B518"/>
      <c r="C518"/>
      <c r="D518"/>
    </row>
    <row r="519" spans="2:4" x14ac:dyDescent="0.25">
      <c r="B519"/>
      <c r="C519"/>
      <c r="D519"/>
    </row>
    <row r="520" spans="2:4" x14ac:dyDescent="0.25">
      <c r="B520"/>
      <c r="C520"/>
      <c r="D520"/>
    </row>
    <row r="521" spans="2:4" x14ac:dyDescent="0.25">
      <c r="B521"/>
      <c r="C521"/>
      <c r="D521"/>
    </row>
    <row r="522" spans="2:4" x14ac:dyDescent="0.25">
      <c r="B522"/>
      <c r="C522"/>
      <c r="D522"/>
    </row>
    <row r="523" spans="2:4" x14ac:dyDescent="0.25">
      <c r="B523"/>
      <c r="C523"/>
      <c r="D523"/>
    </row>
    <row r="524" spans="2:4" x14ac:dyDescent="0.25">
      <c r="B524"/>
      <c r="C524"/>
      <c r="D524"/>
    </row>
    <row r="525" spans="2:4" x14ac:dyDescent="0.25">
      <c r="B525"/>
      <c r="C525"/>
      <c r="D525"/>
    </row>
    <row r="526" spans="2:4" x14ac:dyDescent="0.25">
      <c r="B526"/>
      <c r="C526"/>
      <c r="D526"/>
    </row>
    <row r="527" spans="2:4" x14ac:dyDescent="0.25">
      <c r="B527"/>
      <c r="C527"/>
      <c r="D527"/>
    </row>
    <row r="528" spans="2:4" x14ac:dyDescent="0.25">
      <c r="B528"/>
      <c r="C528"/>
      <c r="D528"/>
    </row>
    <row r="529" spans="2:4" x14ac:dyDescent="0.25">
      <c r="B529"/>
      <c r="C529"/>
      <c r="D529"/>
    </row>
    <row r="530" spans="2:4" x14ac:dyDescent="0.25">
      <c r="B530"/>
      <c r="C530"/>
      <c r="D530"/>
    </row>
    <row r="531" spans="2:4" x14ac:dyDescent="0.25">
      <c r="B531"/>
      <c r="C531"/>
      <c r="D531"/>
    </row>
    <row r="532" spans="2:4" x14ac:dyDescent="0.25">
      <c r="B532"/>
      <c r="C532"/>
      <c r="D532"/>
    </row>
    <row r="533" spans="2:4" x14ac:dyDescent="0.25">
      <c r="B533"/>
      <c r="C533"/>
      <c r="D533"/>
    </row>
    <row r="534" spans="2:4" x14ac:dyDescent="0.25">
      <c r="B534"/>
      <c r="C534"/>
      <c r="D534"/>
    </row>
    <row r="535" spans="2:4" x14ac:dyDescent="0.25">
      <c r="B535"/>
      <c r="C535"/>
      <c r="D535"/>
    </row>
    <row r="536" spans="2:4" x14ac:dyDescent="0.25">
      <c r="B536"/>
      <c r="C536"/>
      <c r="D536"/>
    </row>
    <row r="537" spans="2:4" x14ac:dyDescent="0.25">
      <c r="B537"/>
      <c r="C537"/>
      <c r="D537"/>
    </row>
    <row r="538" spans="2:4" x14ac:dyDescent="0.25">
      <c r="B538"/>
      <c r="C538"/>
      <c r="D538"/>
    </row>
    <row r="539" spans="2:4" x14ac:dyDescent="0.25">
      <c r="B539"/>
      <c r="C539"/>
      <c r="D539"/>
    </row>
    <row r="540" spans="2:4" x14ac:dyDescent="0.25">
      <c r="B540"/>
      <c r="C540"/>
      <c r="D540"/>
    </row>
    <row r="541" spans="2:4" x14ac:dyDescent="0.25">
      <c r="B541"/>
      <c r="C541"/>
      <c r="D541"/>
    </row>
    <row r="542" spans="2:4" x14ac:dyDescent="0.25">
      <c r="B542"/>
      <c r="C542"/>
      <c r="D542"/>
    </row>
    <row r="543" spans="2:4" x14ac:dyDescent="0.25">
      <c r="B543"/>
      <c r="C543"/>
      <c r="D543"/>
    </row>
    <row r="544" spans="2:4" x14ac:dyDescent="0.25">
      <c r="B544"/>
      <c r="C544"/>
      <c r="D544"/>
    </row>
    <row r="545" spans="2:4" x14ac:dyDescent="0.25">
      <c r="B545"/>
      <c r="C545"/>
      <c r="D545"/>
    </row>
    <row r="546" spans="2:4" x14ac:dyDescent="0.25">
      <c r="B546"/>
      <c r="C546"/>
      <c r="D546"/>
    </row>
    <row r="547" spans="2:4" x14ac:dyDescent="0.25">
      <c r="B547"/>
      <c r="C547"/>
      <c r="D547"/>
    </row>
    <row r="548" spans="2:4" x14ac:dyDescent="0.25">
      <c r="B548"/>
      <c r="C548"/>
      <c r="D548"/>
    </row>
    <row r="549" spans="2:4" x14ac:dyDescent="0.25">
      <c r="B549"/>
      <c r="C549"/>
      <c r="D549"/>
    </row>
    <row r="550" spans="2:4" x14ac:dyDescent="0.25">
      <c r="B550"/>
      <c r="C550"/>
      <c r="D550"/>
    </row>
    <row r="551" spans="2:4" x14ac:dyDescent="0.25">
      <c r="B551"/>
      <c r="C551"/>
      <c r="D551"/>
    </row>
    <row r="552" spans="2:4" x14ac:dyDescent="0.25">
      <c r="B552"/>
      <c r="C552"/>
      <c r="D552"/>
    </row>
    <row r="553" spans="2:4" x14ac:dyDescent="0.25">
      <c r="B553"/>
      <c r="C553"/>
      <c r="D553"/>
    </row>
    <row r="554" spans="2:4" x14ac:dyDescent="0.25">
      <c r="B554"/>
      <c r="C554"/>
      <c r="D554"/>
    </row>
    <row r="555" spans="2:4" x14ac:dyDescent="0.25">
      <c r="B555"/>
      <c r="C555"/>
      <c r="D555"/>
    </row>
    <row r="556" spans="2:4" x14ac:dyDescent="0.25">
      <c r="B556"/>
      <c r="C556"/>
      <c r="D556"/>
    </row>
    <row r="557" spans="2:4" x14ac:dyDescent="0.25">
      <c r="B557"/>
      <c r="C557"/>
      <c r="D557"/>
    </row>
    <row r="558" spans="2:4" x14ac:dyDescent="0.25">
      <c r="B558"/>
      <c r="C558"/>
      <c r="D558"/>
    </row>
    <row r="559" spans="2:4" x14ac:dyDescent="0.25">
      <c r="B559"/>
      <c r="C559"/>
      <c r="D559"/>
    </row>
    <row r="560" spans="2:4" x14ac:dyDescent="0.25">
      <c r="B560"/>
      <c r="C560"/>
      <c r="D560"/>
    </row>
    <row r="561" spans="2:4" x14ac:dyDescent="0.25">
      <c r="B561"/>
      <c r="C561"/>
      <c r="D561"/>
    </row>
    <row r="562" spans="2:4" x14ac:dyDescent="0.25">
      <c r="B562"/>
      <c r="C562"/>
      <c r="D562"/>
    </row>
    <row r="563" spans="2:4" x14ac:dyDescent="0.25">
      <c r="B563"/>
      <c r="C563"/>
      <c r="D563"/>
    </row>
    <row r="564" spans="2:4" x14ac:dyDescent="0.25">
      <c r="B564"/>
      <c r="C564"/>
      <c r="D564"/>
    </row>
    <row r="565" spans="2:4" x14ac:dyDescent="0.25">
      <c r="B565"/>
      <c r="C565"/>
      <c r="D565"/>
    </row>
    <row r="566" spans="2:4" x14ac:dyDescent="0.25">
      <c r="B566"/>
      <c r="C566"/>
      <c r="D566"/>
    </row>
    <row r="567" spans="2:4" x14ac:dyDescent="0.25">
      <c r="B567"/>
      <c r="C567"/>
      <c r="D567"/>
    </row>
    <row r="568" spans="2:4" x14ac:dyDescent="0.25">
      <c r="B568"/>
      <c r="C568"/>
      <c r="D568"/>
    </row>
    <row r="569" spans="2:4" x14ac:dyDescent="0.25">
      <c r="B569"/>
      <c r="C569"/>
      <c r="D569"/>
    </row>
    <row r="570" spans="2:4" x14ac:dyDescent="0.25">
      <c r="B570"/>
      <c r="C570"/>
      <c r="D570"/>
    </row>
    <row r="571" spans="2:4" x14ac:dyDescent="0.25">
      <c r="B571"/>
      <c r="C571"/>
      <c r="D571"/>
    </row>
    <row r="572" spans="2:4" x14ac:dyDescent="0.25">
      <c r="B572"/>
      <c r="C572"/>
      <c r="D572"/>
    </row>
    <row r="573" spans="2:4" x14ac:dyDescent="0.25">
      <c r="B573"/>
      <c r="C573"/>
      <c r="D573"/>
    </row>
    <row r="574" spans="2:4" x14ac:dyDescent="0.25">
      <c r="B574"/>
      <c r="C574"/>
      <c r="D574"/>
    </row>
    <row r="575" spans="2:4" x14ac:dyDescent="0.25">
      <c r="B575"/>
      <c r="C575"/>
      <c r="D575"/>
    </row>
    <row r="576" spans="2:4" x14ac:dyDescent="0.25">
      <c r="B576"/>
      <c r="C576"/>
      <c r="D576"/>
    </row>
    <row r="577" spans="2:4" x14ac:dyDescent="0.25">
      <c r="B577"/>
      <c r="C577"/>
      <c r="D577"/>
    </row>
    <row r="578" spans="2:4" x14ac:dyDescent="0.25">
      <c r="B578"/>
      <c r="C578"/>
      <c r="D578"/>
    </row>
    <row r="579" spans="2:4" x14ac:dyDescent="0.25">
      <c r="B579"/>
      <c r="C579"/>
      <c r="D579"/>
    </row>
    <row r="580" spans="2:4" x14ac:dyDescent="0.25">
      <c r="B580"/>
      <c r="C580"/>
      <c r="D580"/>
    </row>
    <row r="581" spans="2:4" x14ac:dyDescent="0.25">
      <c r="B581"/>
      <c r="C581"/>
      <c r="D581"/>
    </row>
    <row r="582" spans="2:4" x14ac:dyDescent="0.25">
      <c r="B582"/>
      <c r="C582"/>
      <c r="D582"/>
    </row>
    <row r="583" spans="2:4" x14ac:dyDescent="0.25">
      <c r="B583"/>
      <c r="C583"/>
      <c r="D583"/>
    </row>
    <row r="584" spans="2:4" x14ac:dyDescent="0.25">
      <c r="B584"/>
      <c r="C584"/>
      <c r="D584"/>
    </row>
    <row r="585" spans="2:4" x14ac:dyDescent="0.25">
      <c r="B585"/>
      <c r="C585"/>
      <c r="D585"/>
    </row>
    <row r="586" spans="2:4" x14ac:dyDescent="0.25">
      <c r="B586"/>
      <c r="C586"/>
      <c r="D586"/>
    </row>
    <row r="587" spans="2:4" x14ac:dyDescent="0.25">
      <c r="B587"/>
      <c r="C587"/>
      <c r="D587"/>
    </row>
    <row r="588" spans="2:4" x14ac:dyDescent="0.25">
      <c r="B588"/>
      <c r="C588"/>
      <c r="D588"/>
    </row>
    <row r="589" spans="2:4" x14ac:dyDescent="0.25">
      <c r="B589"/>
      <c r="C589"/>
      <c r="D589"/>
    </row>
    <row r="590" spans="2:4" x14ac:dyDescent="0.25">
      <c r="B590"/>
      <c r="C590"/>
      <c r="D590"/>
    </row>
    <row r="591" spans="2:4" x14ac:dyDescent="0.25">
      <c r="B591"/>
      <c r="C591"/>
      <c r="D591"/>
    </row>
    <row r="592" spans="2:4" x14ac:dyDescent="0.25">
      <c r="B592"/>
      <c r="C592"/>
      <c r="D592"/>
    </row>
    <row r="593" spans="2:4" x14ac:dyDescent="0.25">
      <c r="B593"/>
      <c r="C593"/>
      <c r="D593"/>
    </row>
    <row r="594" spans="2:4" x14ac:dyDescent="0.25">
      <c r="B594"/>
      <c r="C594"/>
      <c r="D594"/>
    </row>
    <row r="595" spans="2:4" x14ac:dyDescent="0.25">
      <c r="B595"/>
      <c r="C595"/>
      <c r="D595"/>
    </row>
    <row r="596" spans="2:4" x14ac:dyDescent="0.25">
      <c r="B596"/>
      <c r="C596"/>
      <c r="D596"/>
    </row>
    <row r="597" spans="2:4" x14ac:dyDescent="0.25">
      <c r="B597"/>
      <c r="C597"/>
      <c r="D597"/>
    </row>
    <row r="598" spans="2:4" x14ac:dyDescent="0.25">
      <c r="B598"/>
      <c r="C598"/>
      <c r="D598"/>
    </row>
    <row r="599" spans="2:4" x14ac:dyDescent="0.25">
      <c r="B599"/>
      <c r="C599"/>
      <c r="D599"/>
    </row>
    <row r="600" spans="2:4" x14ac:dyDescent="0.25">
      <c r="B600"/>
      <c r="C600"/>
      <c r="D600"/>
    </row>
    <row r="601" spans="2:4" x14ac:dyDescent="0.25">
      <c r="B601"/>
      <c r="C601"/>
      <c r="D601"/>
    </row>
    <row r="602" spans="2:4" x14ac:dyDescent="0.25">
      <c r="B602"/>
      <c r="C602"/>
      <c r="D602"/>
    </row>
    <row r="603" spans="2:4" x14ac:dyDescent="0.25">
      <c r="B603"/>
      <c r="C603"/>
      <c r="D603"/>
    </row>
    <row r="604" spans="2:4" x14ac:dyDescent="0.25">
      <c r="B604"/>
      <c r="C604"/>
      <c r="D604"/>
    </row>
    <row r="605" spans="2:4" x14ac:dyDescent="0.25">
      <c r="B605"/>
      <c r="C605"/>
      <c r="D605"/>
    </row>
    <row r="606" spans="2:4" x14ac:dyDescent="0.25">
      <c r="B606"/>
      <c r="C606"/>
      <c r="D606"/>
    </row>
    <row r="607" spans="2:4" x14ac:dyDescent="0.25">
      <c r="B607"/>
      <c r="C607"/>
      <c r="D607"/>
    </row>
    <row r="608" spans="2:4" x14ac:dyDescent="0.25">
      <c r="B608"/>
      <c r="C608"/>
      <c r="D608"/>
    </row>
    <row r="609" spans="2:4" x14ac:dyDescent="0.25">
      <c r="B609"/>
      <c r="C609"/>
      <c r="D609"/>
    </row>
    <row r="610" spans="2:4" x14ac:dyDescent="0.25">
      <c r="B610"/>
      <c r="C610"/>
      <c r="D610"/>
    </row>
    <row r="611" spans="2:4" x14ac:dyDescent="0.25">
      <c r="B611"/>
      <c r="C611"/>
      <c r="D611"/>
    </row>
    <row r="612" spans="2:4" x14ac:dyDescent="0.25">
      <c r="B612"/>
      <c r="C612"/>
      <c r="D612"/>
    </row>
    <row r="613" spans="2:4" x14ac:dyDescent="0.25">
      <c r="B613"/>
      <c r="C613"/>
      <c r="D613"/>
    </row>
    <row r="614" spans="2:4" x14ac:dyDescent="0.25">
      <c r="B614"/>
      <c r="C614"/>
      <c r="D614"/>
    </row>
    <row r="615" spans="2:4" x14ac:dyDescent="0.25">
      <c r="B615"/>
      <c r="C615"/>
      <c r="D615"/>
    </row>
    <row r="616" spans="2:4" x14ac:dyDescent="0.25">
      <c r="B616"/>
      <c r="C616"/>
      <c r="D616"/>
    </row>
    <row r="617" spans="2:4" x14ac:dyDescent="0.25">
      <c r="B617"/>
      <c r="C617"/>
      <c r="D617"/>
    </row>
    <row r="618" spans="2:4" x14ac:dyDescent="0.25">
      <c r="B618"/>
      <c r="C618"/>
      <c r="D618"/>
    </row>
    <row r="619" spans="2:4" x14ac:dyDescent="0.25">
      <c r="B619"/>
      <c r="C619"/>
      <c r="D619"/>
    </row>
    <row r="620" spans="2:4" x14ac:dyDescent="0.25">
      <c r="B620"/>
      <c r="C620"/>
      <c r="D620"/>
    </row>
    <row r="621" spans="2:4" x14ac:dyDescent="0.25">
      <c r="B621"/>
      <c r="C621"/>
      <c r="D621"/>
    </row>
    <row r="622" spans="2:4" x14ac:dyDescent="0.25">
      <c r="B622"/>
      <c r="C622"/>
      <c r="D622"/>
    </row>
    <row r="623" spans="2:4" x14ac:dyDescent="0.25">
      <c r="B623"/>
      <c r="C623"/>
      <c r="D623"/>
    </row>
    <row r="624" spans="2:4" x14ac:dyDescent="0.25">
      <c r="B624"/>
      <c r="C624"/>
      <c r="D624"/>
    </row>
    <row r="625" spans="2:4" x14ac:dyDescent="0.25">
      <c r="B625"/>
      <c r="C625"/>
      <c r="D625"/>
    </row>
    <row r="626" spans="2:4" x14ac:dyDescent="0.25">
      <c r="B626"/>
      <c r="C626"/>
      <c r="D626"/>
    </row>
    <row r="627" spans="2:4" x14ac:dyDescent="0.25">
      <c r="B627"/>
      <c r="C627"/>
      <c r="D627"/>
    </row>
    <row r="628" spans="2:4" x14ac:dyDescent="0.25">
      <c r="B628"/>
      <c r="C628"/>
      <c r="D628"/>
    </row>
    <row r="629" spans="2:4" x14ac:dyDescent="0.25">
      <c r="B629"/>
      <c r="C629"/>
      <c r="D629"/>
    </row>
    <row r="630" spans="2:4" x14ac:dyDescent="0.25">
      <c r="B630"/>
      <c r="C630"/>
      <c r="D630"/>
    </row>
    <row r="631" spans="2:4" x14ac:dyDescent="0.25">
      <c r="B631"/>
      <c r="C631"/>
      <c r="D631"/>
    </row>
    <row r="632" spans="2:4" x14ac:dyDescent="0.25">
      <c r="B632"/>
      <c r="C632"/>
      <c r="D632"/>
    </row>
    <row r="633" spans="2:4" x14ac:dyDescent="0.25">
      <c r="B633"/>
      <c r="C633"/>
      <c r="D633"/>
    </row>
    <row r="634" spans="2:4" x14ac:dyDescent="0.25">
      <c r="B634"/>
      <c r="C634"/>
      <c r="D634"/>
    </row>
    <row r="635" spans="2:4" x14ac:dyDescent="0.25">
      <c r="B635"/>
      <c r="C635"/>
      <c r="D635"/>
    </row>
    <row r="636" spans="2:4" x14ac:dyDescent="0.25">
      <c r="B636"/>
      <c r="C636"/>
      <c r="D636"/>
    </row>
    <row r="637" spans="2:4" x14ac:dyDescent="0.25">
      <c r="B637"/>
      <c r="C637"/>
      <c r="D637"/>
    </row>
    <row r="638" spans="2:4" x14ac:dyDescent="0.25">
      <c r="B638"/>
      <c r="C638"/>
      <c r="D638"/>
    </row>
    <row r="639" spans="2:4" x14ac:dyDescent="0.25">
      <c r="B639"/>
      <c r="C639"/>
      <c r="D639"/>
    </row>
    <row r="640" spans="2:4" x14ac:dyDescent="0.25">
      <c r="B640"/>
      <c r="C640"/>
      <c r="D640"/>
    </row>
    <row r="641" spans="2:4" x14ac:dyDescent="0.25">
      <c r="B641"/>
      <c r="C641"/>
      <c r="D641"/>
    </row>
    <row r="642" spans="2:4" x14ac:dyDescent="0.25">
      <c r="B642"/>
      <c r="C642"/>
      <c r="D642"/>
    </row>
    <row r="643" spans="2:4" x14ac:dyDescent="0.25">
      <c r="B643"/>
      <c r="C643"/>
      <c r="D643"/>
    </row>
    <row r="644" spans="2:4" x14ac:dyDescent="0.25">
      <c r="B644"/>
      <c r="C644"/>
      <c r="D644"/>
    </row>
    <row r="645" spans="2:4" x14ac:dyDescent="0.25">
      <c r="B645"/>
      <c r="C645"/>
      <c r="D645"/>
    </row>
    <row r="646" spans="2:4" x14ac:dyDescent="0.25">
      <c r="B646"/>
      <c r="C646"/>
      <c r="D646"/>
    </row>
    <row r="647" spans="2:4" x14ac:dyDescent="0.25">
      <c r="B647"/>
      <c r="C647"/>
      <c r="D647"/>
    </row>
    <row r="648" spans="2:4" x14ac:dyDescent="0.25">
      <c r="B648"/>
      <c r="C648"/>
      <c r="D648"/>
    </row>
    <row r="649" spans="2:4" x14ac:dyDescent="0.25">
      <c r="B649"/>
      <c r="C649"/>
      <c r="D649"/>
    </row>
    <row r="650" spans="2:4" x14ac:dyDescent="0.25">
      <c r="B650"/>
      <c r="C650"/>
      <c r="D650"/>
    </row>
    <row r="651" spans="2:4" x14ac:dyDescent="0.25">
      <c r="B651"/>
      <c r="C651"/>
      <c r="D651"/>
    </row>
    <row r="652" spans="2:4" x14ac:dyDescent="0.25">
      <c r="B652"/>
      <c r="C652"/>
      <c r="D652"/>
    </row>
    <row r="653" spans="2:4" x14ac:dyDescent="0.25">
      <c r="B653"/>
      <c r="C653"/>
      <c r="D653"/>
    </row>
    <row r="654" spans="2:4" x14ac:dyDescent="0.25">
      <c r="B654"/>
      <c r="C654"/>
      <c r="D654"/>
    </row>
    <row r="655" spans="2:4" x14ac:dyDescent="0.25">
      <c r="B655"/>
      <c r="C655"/>
      <c r="D655"/>
    </row>
    <row r="656" spans="2:4" x14ac:dyDescent="0.25">
      <c r="B656"/>
      <c r="C656"/>
      <c r="D656"/>
    </row>
    <row r="657" spans="2:4" x14ac:dyDescent="0.25">
      <c r="B657"/>
      <c r="C657"/>
      <c r="D657"/>
    </row>
    <row r="658" spans="2:4" x14ac:dyDescent="0.25">
      <c r="B658"/>
      <c r="C658"/>
      <c r="D658"/>
    </row>
    <row r="659" spans="2:4" x14ac:dyDescent="0.25">
      <c r="B659"/>
      <c r="C659"/>
      <c r="D659"/>
    </row>
    <row r="660" spans="2:4" x14ac:dyDescent="0.25">
      <c r="B660"/>
      <c r="C660"/>
      <c r="D660"/>
    </row>
    <row r="661" spans="2:4" x14ac:dyDescent="0.25">
      <c r="B661"/>
      <c r="C661"/>
      <c r="D661"/>
    </row>
    <row r="662" spans="2:4" x14ac:dyDescent="0.25">
      <c r="B662"/>
      <c r="C662"/>
      <c r="D662"/>
    </row>
    <row r="663" spans="2:4" x14ac:dyDescent="0.25">
      <c r="B663"/>
      <c r="C663"/>
      <c r="D663"/>
    </row>
    <row r="664" spans="2:4" x14ac:dyDescent="0.25">
      <c r="B664"/>
      <c r="C664"/>
      <c r="D664"/>
    </row>
    <row r="665" spans="2:4" x14ac:dyDescent="0.25">
      <c r="B665"/>
      <c r="C665"/>
      <c r="D665"/>
    </row>
  </sheetData>
  <mergeCells count="20">
    <mergeCell ref="A31:L31"/>
    <mergeCell ref="H269:L269"/>
    <mergeCell ref="G72:K72"/>
    <mergeCell ref="M72:Q72"/>
    <mergeCell ref="A72:E72"/>
    <mergeCell ref="A247:B247"/>
    <mergeCell ref="E247:F247"/>
    <mergeCell ref="A128:F128"/>
    <mergeCell ref="A129:F129"/>
    <mergeCell ref="A130:F130"/>
    <mergeCell ref="A65:E65"/>
    <mergeCell ref="A66:E66"/>
    <mergeCell ref="A67:E67"/>
    <mergeCell ref="A100:K100"/>
    <mergeCell ref="A101:K101"/>
    <mergeCell ref="A24:F24"/>
    <mergeCell ref="A25:F25"/>
    <mergeCell ref="A26:F26"/>
    <mergeCell ref="A27:F27"/>
    <mergeCell ref="A28:F28"/>
  </mergeCells>
  <conditionalFormatting sqref="A167:G168 A169:A184">
    <cfRule type="colorScale" priority="19">
      <colorScale>
        <cfvo type="min"/>
        <cfvo type="percentile" val="50"/>
        <cfvo type="max"/>
        <color rgb="FFF8696B"/>
        <color rgb="FFFFEB84"/>
        <color rgb="FF63BE7B"/>
      </colorScale>
    </cfRule>
  </conditionalFormatting>
  <conditionalFormatting sqref="A167:G168 C182:G182 F183:G183 A169:A184">
    <cfRule type="colorScale" priority="18">
      <colorScale>
        <cfvo type="min"/>
        <cfvo type="percentile" val="50"/>
        <cfvo type="max"/>
        <color rgb="FFF8696B"/>
        <color rgb="FFFFEB84"/>
        <color rgb="FF63BE7B"/>
      </colorScale>
    </cfRule>
  </conditionalFormatting>
  <conditionalFormatting sqref="B184:B188">
    <cfRule type="colorScale" priority="16">
      <colorScale>
        <cfvo type="min"/>
        <cfvo type="percentile" val="50"/>
        <cfvo type="max"/>
        <color rgb="FFF8696B"/>
        <color rgb="FFFFEB84"/>
        <color rgb="FF63BE7B"/>
      </colorScale>
    </cfRule>
  </conditionalFormatting>
  <conditionalFormatting pivot="1" sqref="B169:G181">
    <cfRule type="colorScale" priority="13">
      <colorScale>
        <cfvo type="min"/>
        <cfvo type="percentile" val="50"/>
        <cfvo type="max"/>
        <color rgb="FFF8696B"/>
        <color rgb="FFFFEB84"/>
        <color rgb="FF63BE7B"/>
      </colorScale>
    </cfRule>
  </conditionalFormatting>
  <conditionalFormatting sqref="J169:O181">
    <cfRule type="colorScale" priority="12">
      <colorScale>
        <cfvo type="min"/>
        <cfvo type="percentile" val="50"/>
        <cfvo type="max"/>
        <color rgb="FFF8696B"/>
        <color rgb="FFFFEB84"/>
        <color rgb="FF63BE7B"/>
      </colorScale>
    </cfRule>
  </conditionalFormatting>
  <conditionalFormatting sqref="A247:B248 A249:A260">
    <cfRule type="colorScale" priority="9">
      <colorScale>
        <cfvo type="min"/>
        <cfvo type="percentile" val="50"/>
        <cfvo type="max"/>
        <color rgb="FFF8696B"/>
        <color rgb="FFFFEB84"/>
        <color rgb="FF63BE7B"/>
      </colorScale>
    </cfRule>
  </conditionalFormatting>
  <conditionalFormatting sqref="E247:F248 E249:E254">
    <cfRule type="colorScale" priority="8">
      <colorScale>
        <cfvo type="min"/>
        <cfvo type="percentile" val="50"/>
        <cfvo type="max"/>
        <color rgb="FFF8696B"/>
        <color rgb="FFFFEB84"/>
        <color rgb="FF63BE7B"/>
      </colorScale>
    </cfRule>
  </conditionalFormatting>
  <conditionalFormatting pivot="1" sqref="C264:E315">
    <cfRule type="colorScale" priority="5">
      <colorScale>
        <cfvo type="min"/>
        <cfvo type="percentile" val="50"/>
        <cfvo type="max"/>
        <color rgb="FFF8696B"/>
        <color rgb="FFFFEB84"/>
        <color rgb="FF63BE7B"/>
      </colorScale>
    </cfRule>
  </conditionalFormatting>
  <conditionalFormatting sqref="A263:D263 F263 L263:M263 A264:A277 H270:K270">
    <cfRule type="colorScale" priority="20">
      <colorScale>
        <cfvo type="min"/>
        <cfvo type="percentile" val="50"/>
        <cfvo type="max"/>
        <color rgb="FFF8696B"/>
        <color rgb="FFFFEB84"/>
        <color rgb="FF63BE7B"/>
      </colorScale>
    </cfRule>
  </conditionalFormatting>
  <conditionalFormatting sqref="L270">
    <cfRule type="colorScale" priority="4">
      <colorScale>
        <cfvo type="min"/>
        <cfvo type="percentile" val="50"/>
        <cfvo type="max"/>
        <color rgb="FFF8696B"/>
        <color rgb="FFFFEB84"/>
        <color rgb="FF63BE7B"/>
      </colorScale>
    </cfRule>
  </conditionalFormatting>
  <pageMargins left="0.7" right="0.7" top="0.75" bottom="0.75" header="0.3" footer="0.3"/>
  <pageSetup orientation="portrait" r:id="rId18"/>
  <drawing r:id="rId1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BBD72-C7F9-4747-A7C1-B6CB6D2B5B66}">
  <dimension ref="A6:AG84"/>
  <sheetViews>
    <sheetView topLeftCell="A6" zoomScale="60" zoomScaleNormal="60" workbookViewId="0">
      <selection activeCell="X50" sqref="X50"/>
    </sheetView>
  </sheetViews>
  <sheetFormatPr defaultRowHeight="15" x14ac:dyDescent="0.25"/>
  <cols>
    <col min="1" max="1" width="6.85546875" customWidth="1"/>
    <col min="5" max="5" width="24.85546875" bestFit="1" customWidth="1"/>
    <col min="6" max="6" width="1.85546875" customWidth="1"/>
    <col min="7" max="7" width="21.85546875" bestFit="1" customWidth="1"/>
    <col min="8" max="8" width="1.85546875" customWidth="1"/>
    <col min="9" max="9" width="23.140625" bestFit="1" customWidth="1"/>
    <col min="10" max="10" width="2.140625" customWidth="1"/>
    <col min="11" max="11" width="18.140625" bestFit="1" customWidth="1"/>
    <col min="18" max="18" width="9.7109375" customWidth="1"/>
  </cols>
  <sheetData>
    <row r="6" spans="1:33" x14ac:dyDescent="0.25">
      <c r="A6" s="176"/>
      <c r="B6" s="176"/>
      <c r="C6" s="176"/>
      <c r="D6" s="176"/>
      <c r="E6" s="176"/>
      <c r="F6" s="176"/>
      <c r="G6" s="176"/>
      <c r="H6" s="176"/>
      <c r="I6" s="176"/>
      <c r="J6" s="176"/>
      <c r="K6" s="176"/>
      <c r="L6" s="176"/>
      <c r="M6" s="176"/>
      <c r="N6" s="176"/>
      <c r="O6" s="176"/>
      <c r="P6" s="176"/>
      <c r="Q6" s="176"/>
      <c r="R6" s="176"/>
      <c r="S6" s="176"/>
      <c r="T6" s="176"/>
      <c r="U6" s="176"/>
      <c r="V6" s="176"/>
      <c r="W6" s="176"/>
      <c r="X6" s="176"/>
      <c r="Y6" s="176"/>
      <c r="Z6" s="176"/>
      <c r="AA6" s="176"/>
      <c r="AB6" s="176"/>
      <c r="AC6" s="176"/>
      <c r="AD6" s="176"/>
      <c r="AE6" s="176"/>
      <c r="AF6" s="176"/>
      <c r="AG6" s="176"/>
    </row>
    <row r="7" spans="1:33" x14ac:dyDescent="0.25">
      <c r="A7" s="176"/>
      <c r="B7" s="176"/>
      <c r="C7" s="176"/>
      <c r="D7" s="176"/>
      <c r="E7" s="176"/>
      <c r="F7" s="176"/>
      <c r="G7" s="176"/>
      <c r="H7" s="176"/>
      <c r="I7" s="176"/>
      <c r="J7" s="176"/>
      <c r="K7" s="176"/>
      <c r="L7" s="176"/>
      <c r="M7" s="176"/>
      <c r="N7" s="176"/>
      <c r="O7" s="176"/>
      <c r="P7" s="176"/>
      <c r="Q7" s="176"/>
      <c r="R7" s="176"/>
      <c r="S7" s="176"/>
      <c r="T7" s="176"/>
      <c r="U7" s="176"/>
      <c r="V7" s="176"/>
      <c r="W7" s="176"/>
      <c r="X7" s="176"/>
      <c r="Y7" s="176"/>
      <c r="Z7" s="176"/>
      <c r="AA7" s="176"/>
      <c r="AB7" s="176"/>
      <c r="AC7" s="176"/>
      <c r="AD7" s="176"/>
      <c r="AE7" s="176"/>
      <c r="AF7" s="176"/>
      <c r="AG7" s="176"/>
    </row>
    <row r="8" spans="1:33" x14ac:dyDescent="0.25">
      <c r="A8" s="176"/>
      <c r="B8" s="176"/>
      <c r="C8" s="176"/>
      <c r="D8" s="176"/>
      <c r="E8" s="176"/>
      <c r="F8" s="176"/>
      <c r="G8" s="176"/>
      <c r="H8" s="176"/>
      <c r="I8" s="176"/>
      <c r="J8" s="176"/>
      <c r="K8" s="176"/>
      <c r="L8" s="176"/>
      <c r="M8" s="176"/>
      <c r="N8" s="176"/>
      <c r="O8" s="176"/>
      <c r="P8" s="176"/>
      <c r="Q8" s="176"/>
      <c r="R8" s="176"/>
      <c r="S8" s="176"/>
      <c r="T8" s="176"/>
      <c r="U8" s="176"/>
      <c r="V8" s="176"/>
      <c r="W8" s="176"/>
      <c r="X8" s="176"/>
      <c r="Y8" s="176"/>
      <c r="Z8" s="176"/>
      <c r="AA8" s="176"/>
      <c r="AB8" s="176"/>
      <c r="AC8" s="176"/>
      <c r="AD8" s="176"/>
      <c r="AE8" s="176"/>
      <c r="AF8" s="176"/>
      <c r="AG8" s="176"/>
    </row>
    <row r="9" spans="1:33" x14ac:dyDescent="0.25">
      <c r="A9" s="176"/>
      <c r="B9" s="176"/>
      <c r="C9" s="176"/>
      <c r="D9" s="176"/>
      <c r="E9" s="176"/>
      <c r="F9" s="176"/>
      <c r="G9" s="176"/>
      <c r="H9" s="176"/>
      <c r="I9" s="176"/>
      <c r="J9" s="176"/>
      <c r="K9" s="176"/>
      <c r="L9" s="176"/>
      <c r="M9" s="176"/>
      <c r="N9" s="176"/>
      <c r="O9" s="176"/>
      <c r="P9" s="176"/>
      <c r="Q9" s="176"/>
      <c r="R9" s="176"/>
      <c r="S9" s="176"/>
      <c r="T9" s="176"/>
      <c r="U9" s="176"/>
      <c r="V9" s="176"/>
      <c r="W9" s="176"/>
      <c r="X9" s="176"/>
      <c r="Y9" s="176"/>
      <c r="Z9" s="176"/>
      <c r="AA9" s="176"/>
      <c r="AB9" s="176"/>
      <c r="AC9" s="176"/>
      <c r="AD9" s="176"/>
      <c r="AE9" s="176"/>
      <c r="AF9" s="176"/>
      <c r="AG9" s="176"/>
    </row>
    <row r="10" spans="1:33" x14ac:dyDescent="0.25">
      <c r="A10" s="176"/>
      <c r="B10" s="176"/>
      <c r="C10" s="176"/>
      <c r="D10" s="176"/>
      <c r="E10" s="176"/>
      <c r="F10" s="176"/>
      <c r="G10" s="176"/>
      <c r="H10" s="176"/>
      <c r="I10" s="176"/>
      <c r="J10" s="176"/>
      <c r="K10" s="176"/>
      <c r="L10" s="176"/>
      <c r="M10" s="176"/>
      <c r="N10" s="176"/>
      <c r="O10" s="176"/>
      <c r="P10" s="176"/>
      <c r="Q10" s="176"/>
      <c r="R10" s="176"/>
      <c r="S10" s="176"/>
      <c r="T10" s="176"/>
      <c r="U10" s="176"/>
      <c r="V10" s="176"/>
      <c r="W10" s="176"/>
      <c r="X10" s="176"/>
      <c r="Y10" s="176"/>
      <c r="Z10" s="176"/>
      <c r="AA10" s="176"/>
      <c r="AB10" s="176"/>
      <c r="AC10" s="176"/>
      <c r="AD10" s="176"/>
      <c r="AE10" s="176"/>
      <c r="AF10" s="176"/>
      <c r="AG10" s="176"/>
    </row>
    <row r="11" spans="1:33" x14ac:dyDescent="0.25">
      <c r="A11" s="176"/>
      <c r="B11" s="176"/>
      <c r="C11" s="176"/>
      <c r="D11" s="176"/>
      <c r="E11" s="176"/>
      <c r="F11" s="176"/>
      <c r="G11" s="176"/>
      <c r="H11" s="176"/>
      <c r="I11" s="176"/>
      <c r="J11" s="176"/>
      <c r="K11" s="176"/>
      <c r="L11" s="176"/>
      <c r="M11" s="176"/>
      <c r="N11" s="176"/>
      <c r="O11" s="176"/>
      <c r="P11" s="176"/>
      <c r="Q11" s="176"/>
      <c r="R11" s="176"/>
      <c r="S11" s="176"/>
      <c r="T11" s="176"/>
      <c r="U11" s="176"/>
      <c r="V11" s="176"/>
      <c r="W11" s="176"/>
      <c r="X11" s="176"/>
      <c r="Y11" s="176"/>
      <c r="Z11" s="176"/>
      <c r="AA11" s="176"/>
      <c r="AB11" s="176"/>
      <c r="AC11" s="176"/>
      <c r="AD11" s="176"/>
      <c r="AE11" s="176"/>
      <c r="AF11" s="176"/>
      <c r="AG11" s="176"/>
    </row>
    <row r="12" spans="1:33" x14ac:dyDescent="0.25">
      <c r="A12" s="176"/>
      <c r="B12" s="176"/>
      <c r="C12" s="176"/>
      <c r="D12" s="176"/>
      <c r="E12" s="176"/>
      <c r="F12" s="176"/>
      <c r="G12" s="176"/>
      <c r="H12" s="176"/>
      <c r="I12" s="176"/>
      <c r="J12" s="176"/>
      <c r="K12" s="176"/>
      <c r="L12" s="176"/>
      <c r="M12" s="176"/>
      <c r="N12" s="176"/>
      <c r="O12" s="176"/>
      <c r="P12" s="176"/>
      <c r="Q12" s="176"/>
      <c r="R12" s="176"/>
      <c r="S12" s="176"/>
      <c r="T12" s="176"/>
      <c r="U12" s="176"/>
      <c r="V12" s="176"/>
      <c r="W12" s="176"/>
      <c r="X12" s="176"/>
      <c r="Y12" s="176"/>
      <c r="Z12" s="176"/>
      <c r="AA12" s="176"/>
      <c r="AB12" s="176"/>
      <c r="AC12" s="176"/>
      <c r="AD12" s="176"/>
      <c r="AE12" s="176"/>
      <c r="AF12" s="176"/>
      <c r="AG12" s="176"/>
    </row>
    <row r="13" spans="1:33" x14ac:dyDescent="0.25">
      <c r="A13" s="176"/>
      <c r="B13" s="176"/>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176"/>
      <c r="AG13" s="176"/>
    </row>
    <row r="14" spans="1:33" x14ac:dyDescent="0.25">
      <c r="A14" s="176"/>
      <c r="B14" s="176"/>
      <c r="C14" s="176"/>
      <c r="D14" s="176"/>
      <c r="E14" s="176"/>
      <c r="F14" s="176"/>
      <c r="G14" s="176"/>
      <c r="H14" s="176"/>
      <c r="I14" s="176"/>
      <c r="J14" s="176"/>
      <c r="K14" s="176"/>
      <c r="L14" s="176"/>
      <c r="M14" s="176"/>
      <c r="N14" s="176"/>
      <c r="O14" s="176"/>
      <c r="P14" s="176"/>
      <c r="Q14" s="176"/>
      <c r="R14" s="176"/>
      <c r="S14" s="176"/>
      <c r="T14" s="176"/>
      <c r="U14" s="176"/>
      <c r="V14" s="176"/>
      <c r="W14" s="176"/>
      <c r="X14" s="176"/>
      <c r="Y14" s="176"/>
      <c r="Z14" s="176"/>
      <c r="AA14" s="176"/>
      <c r="AB14" s="176"/>
      <c r="AC14" s="176"/>
      <c r="AD14" s="176"/>
      <c r="AE14" s="176"/>
      <c r="AF14" s="176"/>
      <c r="AG14" s="176"/>
    </row>
    <row r="15" spans="1:33" x14ac:dyDescent="0.25">
      <c r="A15" s="176"/>
      <c r="B15" s="176"/>
      <c r="C15" s="176"/>
      <c r="D15" s="176"/>
      <c r="E15" s="176"/>
      <c r="F15" s="176"/>
      <c r="G15" s="176"/>
      <c r="H15" s="176"/>
      <c r="I15" s="176"/>
      <c r="J15" s="176"/>
      <c r="K15" s="176"/>
      <c r="L15" s="176"/>
      <c r="M15" s="176"/>
      <c r="N15" s="176"/>
      <c r="O15" s="176"/>
      <c r="P15" s="176"/>
      <c r="Q15" s="176"/>
      <c r="R15" s="176"/>
      <c r="S15" s="176"/>
      <c r="T15" s="176"/>
      <c r="U15" s="176"/>
      <c r="V15" s="176"/>
      <c r="W15" s="176"/>
      <c r="X15" s="176"/>
      <c r="Y15" s="176"/>
      <c r="Z15" s="176"/>
      <c r="AA15" s="176"/>
      <c r="AB15" s="176"/>
      <c r="AC15" s="176"/>
      <c r="AD15" s="176"/>
      <c r="AE15" s="176"/>
      <c r="AF15" s="176"/>
      <c r="AG15" s="176"/>
    </row>
    <row r="16" spans="1:33" x14ac:dyDescent="0.25">
      <c r="A16" s="176"/>
      <c r="B16" s="176"/>
      <c r="C16" s="176"/>
      <c r="D16" s="176"/>
      <c r="E16" s="176"/>
      <c r="F16" s="176"/>
      <c r="G16" s="176"/>
      <c r="H16" s="176"/>
      <c r="I16" s="176"/>
      <c r="J16" s="176"/>
      <c r="K16" s="176"/>
      <c r="L16" s="176"/>
      <c r="M16" s="176"/>
      <c r="N16" s="176"/>
      <c r="O16" s="176"/>
      <c r="P16" s="176"/>
      <c r="Q16" s="176"/>
      <c r="R16" s="176"/>
      <c r="S16" s="176"/>
      <c r="T16" s="176"/>
      <c r="U16" s="176"/>
      <c r="V16" s="176"/>
      <c r="W16" s="176"/>
      <c r="X16" s="176"/>
      <c r="Y16" s="176"/>
      <c r="Z16" s="176"/>
      <c r="AA16" s="176"/>
      <c r="AB16" s="176"/>
      <c r="AC16" s="176"/>
      <c r="AD16" s="176"/>
      <c r="AE16" s="176"/>
      <c r="AF16" s="176"/>
      <c r="AG16" s="176"/>
    </row>
    <row r="17" spans="1:33" x14ac:dyDescent="0.25">
      <c r="A17" s="176"/>
      <c r="B17" s="176"/>
      <c r="C17" s="176"/>
      <c r="D17" s="176"/>
      <c r="E17" s="176"/>
      <c r="F17" s="176"/>
      <c r="G17" s="176"/>
      <c r="H17" s="176"/>
      <c r="I17" s="176"/>
      <c r="J17" s="176"/>
      <c r="K17" s="176"/>
      <c r="L17" s="176"/>
      <c r="M17" s="176"/>
      <c r="N17" s="176"/>
      <c r="O17" s="176"/>
      <c r="P17" s="176"/>
      <c r="Q17" s="176"/>
      <c r="R17" s="176"/>
      <c r="S17" s="176"/>
      <c r="T17" s="176"/>
      <c r="U17" s="176"/>
      <c r="V17" s="176"/>
      <c r="W17" s="176"/>
      <c r="X17" s="176"/>
      <c r="Y17" s="176"/>
      <c r="Z17" s="176"/>
      <c r="AA17" s="176"/>
      <c r="AB17" s="176"/>
      <c r="AC17" s="176"/>
      <c r="AD17" s="176"/>
      <c r="AE17" s="176"/>
      <c r="AF17" s="176"/>
      <c r="AG17" s="176"/>
    </row>
    <row r="18" spans="1:33" x14ac:dyDescent="0.25">
      <c r="A18" s="176"/>
      <c r="B18" s="176"/>
      <c r="C18" s="176"/>
      <c r="D18" s="176"/>
      <c r="E18" s="176"/>
      <c r="F18" s="176"/>
      <c r="G18" s="176"/>
      <c r="H18" s="176"/>
      <c r="I18" s="176"/>
      <c r="J18" s="176"/>
      <c r="K18" s="176"/>
      <c r="L18" s="176"/>
      <c r="M18" s="176"/>
      <c r="N18" s="176"/>
      <c r="O18" s="176"/>
      <c r="P18" s="176"/>
      <c r="Q18" s="176"/>
      <c r="R18" s="176"/>
      <c r="S18" s="176"/>
      <c r="T18" s="176"/>
      <c r="U18" s="176"/>
      <c r="V18" s="176"/>
      <c r="W18" s="176"/>
      <c r="X18" s="176"/>
      <c r="Y18" s="176"/>
      <c r="Z18" s="176"/>
      <c r="AA18" s="176"/>
      <c r="AB18" s="176"/>
      <c r="AC18" s="176"/>
      <c r="AD18" s="176"/>
      <c r="AE18" s="176"/>
      <c r="AF18" s="176"/>
      <c r="AG18" s="176"/>
    </row>
    <row r="19" spans="1:33" x14ac:dyDescent="0.25">
      <c r="A19" s="176"/>
      <c r="B19" s="176"/>
      <c r="C19" s="176"/>
      <c r="D19" s="176"/>
      <c r="E19" s="176"/>
      <c r="F19" s="176"/>
      <c r="G19" s="176"/>
      <c r="H19" s="176"/>
      <c r="I19" s="176"/>
      <c r="J19" s="176"/>
      <c r="K19" s="176"/>
      <c r="L19" s="176"/>
      <c r="M19" s="176"/>
      <c r="N19" s="176"/>
      <c r="O19" s="176"/>
      <c r="P19" s="176"/>
      <c r="Q19" s="176"/>
      <c r="R19" s="176"/>
      <c r="S19" s="176"/>
      <c r="T19" s="176"/>
      <c r="U19" s="176"/>
      <c r="V19" s="176"/>
      <c r="W19" s="176"/>
      <c r="X19" s="176"/>
      <c r="Y19" s="176"/>
      <c r="Z19" s="176"/>
      <c r="AA19" s="176"/>
      <c r="AB19" s="176"/>
      <c r="AC19" s="176"/>
      <c r="AD19" s="176"/>
      <c r="AE19" s="176"/>
      <c r="AF19" s="176"/>
      <c r="AG19" s="176"/>
    </row>
    <row r="20" spans="1:33" x14ac:dyDescent="0.25">
      <c r="A20" s="176"/>
      <c r="B20" s="176"/>
      <c r="C20" s="176"/>
      <c r="D20" s="176"/>
      <c r="E20" s="176"/>
      <c r="F20" s="176"/>
      <c r="G20" s="176"/>
      <c r="H20" s="176"/>
      <c r="I20" s="176"/>
      <c r="J20" s="176"/>
      <c r="K20" s="176"/>
      <c r="L20" s="176"/>
      <c r="M20" s="176"/>
      <c r="N20" s="176"/>
      <c r="O20" s="176"/>
      <c r="P20" s="176"/>
      <c r="Q20" s="176"/>
      <c r="R20" s="176"/>
      <c r="S20" s="176"/>
      <c r="T20" s="176"/>
      <c r="U20" s="176"/>
      <c r="V20" s="176"/>
      <c r="W20" s="176"/>
      <c r="X20" s="176"/>
      <c r="Y20" s="176"/>
      <c r="Z20" s="176"/>
      <c r="AA20" s="176"/>
      <c r="AB20" s="176"/>
      <c r="AC20" s="176"/>
      <c r="AD20" s="176"/>
      <c r="AE20" s="176"/>
      <c r="AF20" s="176"/>
      <c r="AG20" s="176"/>
    </row>
    <row r="21" spans="1:33" x14ac:dyDescent="0.25">
      <c r="A21" s="176"/>
      <c r="B21" s="176"/>
      <c r="C21" s="176"/>
      <c r="D21" s="176"/>
      <c r="E21" s="176"/>
      <c r="F21" s="176"/>
      <c r="G21" s="176"/>
      <c r="H21" s="176"/>
      <c r="I21" s="176"/>
      <c r="J21" s="176"/>
      <c r="K21" s="176"/>
      <c r="L21" s="176"/>
      <c r="M21" s="176"/>
      <c r="N21" s="176"/>
      <c r="O21" s="176"/>
      <c r="P21" s="176"/>
      <c r="Q21" s="176"/>
      <c r="R21" s="176"/>
      <c r="S21" s="176"/>
      <c r="T21" s="176"/>
      <c r="U21" s="176"/>
      <c r="V21" s="176"/>
      <c r="W21" s="176"/>
      <c r="X21" s="176"/>
      <c r="Y21" s="176"/>
      <c r="Z21" s="176"/>
      <c r="AA21" s="176"/>
      <c r="AB21" s="176"/>
      <c r="AC21" s="176"/>
      <c r="AD21" s="176"/>
      <c r="AE21" s="176"/>
      <c r="AF21" s="176"/>
      <c r="AG21" s="176"/>
    </row>
    <row r="22" spans="1:33" x14ac:dyDescent="0.25">
      <c r="A22" s="176"/>
      <c r="B22" s="176"/>
      <c r="C22" s="176"/>
      <c r="D22" s="176"/>
      <c r="E22" s="176"/>
      <c r="F22" s="176"/>
      <c r="G22" s="176"/>
      <c r="H22" s="176"/>
      <c r="I22" s="176"/>
      <c r="J22" s="176"/>
      <c r="K22" s="176"/>
      <c r="L22" s="176"/>
      <c r="M22" s="176"/>
      <c r="N22" s="176"/>
      <c r="O22" s="176"/>
      <c r="P22" s="176"/>
      <c r="Q22" s="176"/>
      <c r="R22" s="176"/>
      <c r="S22" s="176"/>
      <c r="T22" s="176"/>
      <c r="U22" s="176"/>
      <c r="V22" s="176"/>
      <c r="W22" s="176"/>
      <c r="X22" s="176"/>
      <c r="Y22" s="176"/>
      <c r="Z22" s="176"/>
      <c r="AA22" s="176"/>
      <c r="AB22" s="176"/>
      <c r="AC22" s="176"/>
      <c r="AD22" s="176"/>
      <c r="AE22" s="176"/>
      <c r="AF22" s="176"/>
      <c r="AG22" s="176"/>
    </row>
    <row r="23" spans="1:33" x14ac:dyDescent="0.25">
      <c r="A23" s="176"/>
      <c r="B23" s="176"/>
      <c r="C23" s="176"/>
      <c r="D23" s="176"/>
      <c r="E23" s="176"/>
      <c r="F23" s="176"/>
      <c r="G23" s="176"/>
      <c r="H23" s="176"/>
      <c r="I23" s="176"/>
      <c r="J23" s="176"/>
      <c r="K23" s="176"/>
      <c r="L23" s="176"/>
      <c r="M23" s="176"/>
      <c r="N23" s="176"/>
      <c r="O23" s="176"/>
      <c r="P23" s="176"/>
      <c r="Q23" s="176"/>
      <c r="R23" s="176"/>
      <c r="S23" s="176"/>
      <c r="T23" s="176"/>
      <c r="U23" s="176"/>
      <c r="V23" s="176"/>
      <c r="W23" s="176"/>
      <c r="X23" s="176"/>
      <c r="Y23" s="176"/>
      <c r="Z23" s="176"/>
      <c r="AA23" s="176"/>
      <c r="AB23" s="176"/>
      <c r="AC23" s="176"/>
      <c r="AD23" s="176"/>
      <c r="AE23" s="176"/>
      <c r="AF23" s="176"/>
      <c r="AG23" s="176"/>
    </row>
    <row r="24" spans="1:33" x14ac:dyDescent="0.25">
      <c r="A24" s="176"/>
      <c r="B24" s="176"/>
      <c r="C24" s="176"/>
      <c r="D24" s="176"/>
      <c r="E24" s="176"/>
      <c r="F24" s="176"/>
      <c r="G24" s="176"/>
      <c r="H24" s="176"/>
      <c r="I24" s="176"/>
      <c r="J24" s="176"/>
      <c r="K24" s="176"/>
      <c r="L24" s="176"/>
      <c r="M24" s="176"/>
      <c r="N24" s="176"/>
      <c r="O24" s="176"/>
      <c r="P24" s="176"/>
      <c r="Q24" s="176"/>
      <c r="R24" s="176"/>
      <c r="S24" s="176"/>
      <c r="T24" s="176"/>
      <c r="U24" s="176"/>
      <c r="V24" s="176"/>
      <c r="W24" s="176"/>
      <c r="X24" s="176"/>
      <c r="Y24" s="176"/>
      <c r="Z24" s="176"/>
      <c r="AA24" s="176"/>
      <c r="AB24" s="176"/>
      <c r="AC24" s="176"/>
      <c r="AD24" s="176"/>
      <c r="AE24" s="176"/>
      <c r="AF24" s="176"/>
      <c r="AG24" s="176"/>
    </row>
    <row r="25" spans="1:33" x14ac:dyDescent="0.25">
      <c r="A25" s="176"/>
      <c r="B25" s="176"/>
      <c r="C25" s="176"/>
      <c r="D25" s="176"/>
      <c r="E25" s="176"/>
      <c r="F25" s="176"/>
      <c r="G25" s="176"/>
      <c r="H25" s="176"/>
      <c r="I25" s="176"/>
      <c r="J25" s="176"/>
      <c r="K25" s="176"/>
      <c r="L25" s="176"/>
      <c r="M25" s="176"/>
      <c r="N25" s="176"/>
      <c r="O25" s="176"/>
      <c r="P25" s="176"/>
      <c r="Q25" s="176"/>
      <c r="R25" s="176"/>
      <c r="S25" s="176"/>
      <c r="T25" s="176"/>
      <c r="U25" s="176"/>
      <c r="V25" s="176"/>
      <c r="W25" s="176"/>
      <c r="X25" s="176"/>
      <c r="Y25" s="176"/>
      <c r="Z25" s="176"/>
      <c r="AA25" s="176"/>
      <c r="AB25" s="176"/>
      <c r="AC25" s="176"/>
      <c r="AD25" s="176"/>
      <c r="AE25" s="176"/>
      <c r="AF25" s="176"/>
      <c r="AG25" s="176"/>
    </row>
    <row r="26" spans="1:33" x14ac:dyDescent="0.25">
      <c r="A26" s="176"/>
      <c r="B26" s="176"/>
      <c r="C26" s="176"/>
      <c r="D26" s="176"/>
      <c r="E26" s="176"/>
      <c r="F26" s="176"/>
      <c r="G26" s="176"/>
      <c r="H26" s="176"/>
      <c r="I26" s="176"/>
      <c r="J26" s="176"/>
      <c r="K26" s="176"/>
      <c r="L26" s="176"/>
      <c r="M26" s="176"/>
      <c r="N26" s="176"/>
      <c r="O26" s="176"/>
      <c r="P26" s="176"/>
      <c r="Q26" s="176"/>
      <c r="R26" s="176"/>
      <c r="S26" s="176"/>
      <c r="T26" s="176"/>
      <c r="U26" s="176"/>
      <c r="V26" s="176"/>
      <c r="W26" s="176"/>
      <c r="X26" s="176"/>
      <c r="Y26" s="176"/>
      <c r="Z26" s="176"/>
      <c r="AA26" s="176"/>
      <c r="AB26" s="176"/>
      <c r="AC26" s="176"/>
      <c r="AD26" s="176"/>
      <c r="AE26" s="176"/>
      <c r="AF26" s="176"/>
      <c r="AG26" s="176"/>
    </row>
    <row r="27" spans="1:33" x14ac:dyDescent="0.25">
      <c r="A27" s="176"/>
      <c r="B27" s="176"/>
      <c r="C27" s="176"/>
      <c r="D27" s="176"/>
      <c r="E27" s="176"/>
      <c r="F27" s="176"/>
      <c r="G27" s="176"/>
      <c r="H27" s="176"/>
      <c r="I27" s="176"/>
      <c r="J27" s="176"/>
      <c r="K27" s="176"/>
      <c r="L27" s="176"/>
      <c r="M27" s="176"/>
      <c r="N27" s="176"/>
      <c r="O27" s="176"/>
      <c r="P27" s="176"/>
      <c r="Q27" s="176"/>
      <c r="R27" s="176"/>
      <c r="S27" s="176"/>
      <c r="T27" s="176"/>
      <c r="U27" s="176"/>
      <c r="V27" s="176"/>
      <c r="W27" s="176"/>
      <c r="X27" s="176"/>
      <c r="Y27" s="176"/>
      <c r="Z27" s="176"/>
      <c r="AA27" s="176"/>
      <c r="AB27" s="176"/>
      <c r="AC27" s="176"/>
      <c r="AD27" s="176"/>
      <c r="AE27" s="176"/>
      <c r="AF27" s="176"/>
      <c r="AG27" s="176"/>
    </row>
    <row r="28" spans="1:33" x14ac:dyDescent="0.25">
      <c r="A28" s="176"/>
      <c r="B28" s="176"/>
      <c r="C28" s="176"/>
      <c r="D28" s="176"/>
      <c r="E28" s="176"/>
      <c r="F28" s="176"/>
      <c r="G28" s="176"/>
      <c r="H28" s="176"/>
      <c r="I28" s="176"/>
      <c r="J28" s="176"/>
      <c r="K28" s="176"/>
      <c r="L28" s="176"/>
      <c r="M28" s="176"/>
      <c r="N28" s="176"/>
      <c r="O28" s="176"/>
      <c r="P28" s="176"/>
      <c r="Q28" s="176"/>
      <c r="R28" s="176"/>
      <c r="S28" s="176"/>
      <c r="T28" s="176"/>
      <c r="U28" s="176"/>
      <c r="V28" s="176"/>
      <c r="W28" s="176"/>
      <c r="X28" s="176"/>
      <c r="Y28" s="176"/>
      <c r="Z28" s="176"/>
      <c r="AA28" s="176"/>
      <c r="AB28" s="176"/>
      <c r="AC28" s="176"/>
      <c r="AD28" s="176"/>
      <c r="AE28" s="176"/>
      <c r="AF28" s="176"/>
      <c r="AG28" s="176"/>
    </row>
    <row r="29" spans="1:33" x14ac:dyDescent="0.25">
      <c r="A29" s="176"/>
      <c r="B29" s="176"/>
      <c r="C29" s="176"/>
      <c r="D29" s="176"/>
      <c r="E29" s="176"/>
      <c r="F29" s="176"/>
      <c r="G29" s="176"/>
      <c r="H29" s="176"/>
      <c r="I29" s="176"/>
      <c r="J29" s="176"/>
      <c r="K29" s="176"/>
      <c r="L29" s="176"/>
      <c r="M29" s="176"/>
      <c r="N29" s="176"/>
      <c r="O29" s="176"/>
      <c r="P29" s="176"/>
      <c r="Q29" s="176"/>
      <c r="R29" s="176"/>
      <c r="S29" s="176"/>
      <c r="T29" s="176"/>
      <c r="U29" s="176"/>
      <c r="V29" s="176"/>
      <c r="W29" s="176"/>
      <c r="X29" s="176"/>
      <c r="Y29" s="176"/>
      <c r="Z29" s="176"/>
      <c r="AA29" s="176"/>
      <c r="AB29" s="176"/>
      <c r="AC29" s="176"/>
      <c r="AD29" s="176"/>
      <c r="AE29" s="176"/>
      <c r="AF29" s="176"/>
      <c r="AG29" s="176"/>
    </row>
    <row r="30" spans="1:33" x14ac:dyDescent="0.25">
      <c r="A30" s="176"/>
      <c r="B30" s="176"/>
      <c r="C30" s="176"/>
      <c r="D30" s="176"/>
      <c r="E30" s="176"/>
      <c r="F30" s="176"/>
      <c r="G30" s="176"/>
      <c r="H30" s="176"/>
      <c r="I30" s="176"/>
      <c r="J30" s="176"/>
      <c r="K30" s="176"/>
      <c r="L30" s="176"/>
      <c r="M30" s="176"/>
      <c r="N30" s="176"/>
      <c r="O30" s="176"/>
      <c r="P30" s="176"/>
      <c r="Q30" s="176"/>
      <c r="R30" s="176"/>
      <c r="S30" s="176"/>
      <c r="T30" s="176"/>
      <c r="U30" s="176"/>
      <c r="V30" s="176"/>
      <c r="W30" s="176"/>
      <c r="X30" s="176"/>
      <c r="Y30" s="176"/>
      <c r="Z30" s="176"/>
      <c r="AA30" s="176"/>
      <c r="AB30" s="176"/>
      <c r="AC30" s="176"/>
      <c r="AD30" s="176"/>
      <c r="AE30" s="176"/>
      <c r="AF30" s="176"/>
      <c r="AG30" s="176"/>
    </row>
    <row r="31" spans="1:33" x14ac:dyDescent="0.25">
      <c r="A31" s="176"/>
      <c r="B31" s="176"/>
      <c r="C31" s="176"/>
      <c r="D31" s="176"/>
      <c r="E31" s="176"/>
      <c r="F31" s="176"/>
      <c r="G31" s="176"/>
      <c r="H31" s="176"/>
      <c r="I31" s="176"/>
      <c r="J31" s="176"/>
      <c r="K31" s="176"/>
      <c r="L31" s="176"/>
      <c r="M31" s="176"/>
      <c r="N31" s="176"/>
      <c r="O31" s="176"/>
      <c r="P31" s="176"/>
      <c r="Q31" s="176"/>
      <c r="R31" s="176"/>
      <c r="S31" s="176"/>
      <c r="T31" s="176"/>
      <c r="U31" s="176"/>
      <c r="V31" s="176"/>
      <c r="W31" s="176"/>
      <c r="X31" s="176"/>
      <c r="Y31" s="176"/>
      <c r="Z31" s="176"/>
      <c r="AA31" s="176"/>
      <c r="AB31" s="176"/>
      <c r="AC31" s="176"/>
      <c r="AD31" s="176"/>
      <c r="AE31" s="176"/>
      <c r="AF31" s="176"/>
      <c r="AG31" s="176"/>
    </row>
    <row r="32" spans="1:33" x14ac:dyDescent="0.25">
      <c r="A32" s="176"/>
      <c r="B32" s="176"/>
      <c r="C32" s="176"/>
      <c r="D32" s="176"/>
      <c r="E32" s="176"/>
      <c r="F32" s="176"/>
      <c r="G32" s="176"/>
      <c r="H32" s="176"/>
      <c r="I32" s="176"/>
      <c r="J32" s="176"/>
      <c r="K32" s="176"/>
      <c r="L32" s="176"/>
      <c r="M32" s="176"/>
      <c r="N32" s="176"/>
      <c r="O32" s="176"/>
      <c r="P32" s="176"/>
      <c r="Q32" s="176"/>
      <c r="R32" s="176"/>
      <c r="S32" s="176"/>
      <c r="T32" s="176"/>
      <c r="U32" s="176"/>
      <c r="V32" s="176"/>
      <c r="W32" s="176"/>
      <c r="X32" s="176"/>
      <c r="Y32" s="176"/>
      <c r="Z32" s="176"/>
      <c r="AA32" s="176"/>
      <c r="AB32" s="176"/>
      <c r="AC32" s="176"/>
      <c r="AD32" s="176"/>
      <c r="AE32" s="176"/>
      <c r="AF32" s="176"/>
      <c r="AG32" s="176"/>
    </row>
    <row r="33" spans="1:33" x14ac:dyDescent="0.25">
      <c r="A33" s="176"/>
      <c r="B33" s="176"/>
      <c r="C33" s="176"/>
      <c r="D33" s="176"/>
      <c r="E33" s="176"/>
      <c r="F33" s="176"/>
      <c r="G33" s="176"/>
      <c r="H33" s="176"/>
      <c r="I33" s="176"/>
      <c r="J33" s="176"/>
      <c r="K33" s="176"/>
      <c r="L33" s="176"/>
      <c r="M33" s="176"/>
      <c r="N33" s="176"/>
      <c r="O33" s="176"/>
      <c r="P33" s="176"/>
      <c r="Q33" s="176"/>
      <c r="R33" s="176"/>
      <c r="S33" s="176"/>
      <c r="T33" s="176"/>
      <c r="U33" s="176"/>
      <c r="V33" s="176"/>
      <c r="W33" s="176"/>
      <c r="X33" s="176"/>
      <c r="Y33" s="176"/>
      <c r="Z33" s="176"/>
      <c r="AA33" s="176"/>
      <c r="AB33" s="176"/>
      <c r="AC33" s="176"/>
      <c r="AD33" s="176"/>
      <c r="AE33" s="176"/>
      <c r="AF33" s="176"/>
      <c r="AG33" s="176"/>
    </row>
    <row r="34" spans="1:33" x14ac:dyDescent="0.25">
      <c r="A34" s="176"/>
      <c r="B34" s="176"/>
      <c r="C34" s="176"/>
      <c r="D34" s="176"/>
      <c r="E34" s="176"/>
      <c r="F34" s="176"/>
      <c r="G34" s="176"/>
      <c r="H34" s="176"/>
      <c r="I34" s="176"/>
      <c r="J34" s="176"/>
      <c r="K34" s="176"/>
      <c r="L34" s="176"/>
      <c r="M34" s="176"/>
      <c r="N34" s="176"/>
      <c r="O34" s="176"/>
      <c r="P34" s="176"/>
      <c r="Q34" s="176"/>
      <c r="R34" s="176"/>
      <c r="S34" s="176"/>
      <c r="T34" s="176"/>
      <c r="U34" s="176"/>
      <c r="V34" s="176"/>
      <c r="W34" s="176"/>
      <c r="X34" s="176"/>
      <c r="Y34" s="176"/>
      <c r="Z34" s="176"/>
      <c r="AA34" s="176"/>
      <c r="AB34" s="176"/>
      <c r="AC34" s="176"/>
      <c r="AD34" s="176"/>
      <c r="AE34" s="176"/>
      <c r="AF34" s="176"/>
      <c r="AG34" s="176"/>
    </row>
    <row r="35" spans="1:33" x14ac:dyDescent="0.25">
      <c r="A35" s="176"/>
      <c r="B35" s="176"/>
      <c r="C35" s="176"/>
      <c r="D35" s="176"/>
      <c r="E35" s="176"/>
      <c r="F35" s="176"/>
      <c r="G35" s="176"/>
      <c r="H35" s="176"/>
      <c r="I35" s="176"/>
      <c r="J35" s="176"/>
      <c r="K35" s="176"/>
      <c r="L35" s="176"/>
      <c r="M35" s="176"/>
      <c r="N35" s="176"/>
      <c r="O35" s="176"/>
      <c r="P35" s="176"/>
      <c r="Q35" s="176"/>
      <c r="R35" s="176"/>
      <c r="S35" s="176"/>
      <c r="T35" s="176"/>
      <c r="U35" s="176"/>
      <c r="V35" s="176"/>
      <c r="W35" s="176"/>
      <c r="X35" s="176"/>
      <c r="Y35" s="176"/>
      <c r="Z35" s="176"/>
      <c r="AA35" s="176"/>
      <c r="AB35" s="176"/>
      <c r="AC35" s="176"/>
      <c r="AD35" s="176"/>
      <c r="AE35" s="176"/>
      <c r="AF35" s="176"/>
      <c r="AG35" s="176"/>
    </row>
    <row r="36" spans="1:33" x14ac:dyDescent="0.25">
      <c r="A36" s="176"/>
      <c r="B36" s="176"/>
      <c r="C36" s="176"/>
      <c r="D36" s="176"/>
      <c r="E36" s="176"/>
      <c r="F36" s="176"/>
      <c r="G36" s="176"/>
      <c r="H36" s="176"/>
      <c r="I36" s="176"/>
      <c r="J36" s="176"/>
      <c r="K36" s="176"/>
      <c r="L36" s="176"/>
      <c r="M36" s="176"/>
      <c r="N36" s="176"/>
      <c r="O36" s="176"/>
      <c r="P36" s="176"/>
      <c r="Q36" s="176"/>
      <c r="R36" s="176"/>
      <c r="S36" s="176"/>
      <c r="T36" s="176"/>
      <c r="U36" s="176"/>
      <c r="V36" s="176"/>
      <c r="W36" s="176"/>
      <c r="X36" s="176"/>
      <c r="Y36" s="176"/>
      <c r="Z36" s="176"/>
      <c r="AA36" s="176"/>
      <c r="AB36" s="176"/>
      <c r="AC36" s="176"/>
      <c r="AD36" s="176"/>
      <c r="AE36" s="176"/>
      <c r="AF36" s="176"/>
      <c r="AG36" s="176"/>
    </row>
    <row r="37" spans="1:33" x14ac:dyDescent="0.25">
      <c r="A37" s="176"/>
      <c r="B37" s="176"/>
      <c r="C37" s="176"/>
      <c r="D37" s="176"/>
      <c r="E37" s="176"/>
      <c r="F37" s="176"/>
      <c r="G37" s="176"/>
      <c r="H37" s="176"/>
      <c r="I37" s="176"/>
      <c r="J37" s="176"/>
      <c r="K37" s="176"/>
      <c r="L37" s="176"/>
      <c r="M37" s="176"/>
      <c r="N37" s="176"/>
      <c r="O37" s="176"/>
      <c r="P37" s="176"/>
      <c r="Q37" s="176"/>
      <c r="R37" s="176"/>
      <c r="S37" s="176"/>
      <c r="T37" s="176"/>
      <c r="U37" s="176"/>
      <c r="V37" s="176"/>
      <c r="W37" s="176"/>
      <c r="X37" s="176"/>
      <c r="Y37" s="176"/>
      <c r="Z37" s="176"/>
      <c r="AA37" s="176"/>
      <c r="AB37" s="176"/>
      <c r="AC37" s="176"/>
      <c r="AD37" s="176"/>
      <c r="AE37" s="176"/>
      <c r="AF37" s="176"/>
      <c r="AG37" s="176"/>
    </row>
    <row r="38" spans="1:33" x14ac:dyDescent="0.25">
      <c r="A38" s="176"/>
      <c r="B38" s="176"/>
      <c r="C38" s="176"/>
      <c r="D38" s="176"/>
      <c r="E38" s="176"/>
      <c r="F38" s="176"/>
      <c r="G38" s="176"/>
      <c r="H38" s="176"/>
      <c r="I38" s="176"/>
      <c r="J38" s="176"/>
      <c r="K38" s="176"/>
      <c r="L38" s="176"/>
      <c r="M38" s="176"/>
      <c r="N38" s="176"/>
      <c r="O38" s="176"/>
      <c r="P38" s="176"/>
      <c r="Q38" s="176"/>
      <c r="R38" s="176"/>
      <c r="S38" s="176"/>
      <c r="T38" s="176"/>
      <c r="U38" s="176"/>
      <c r="V38" s="176"/>
      <c r="W38" s="176"/>
      <c r="X38" s="176"/>
      <c r="Y38" s="176"/>
      <c r="Z38" s="176"/>
      <c r="AA38" s="176"/>
      <c r="AB38" s="176"/>
      <c r="AC38" s="176"/>
      <c r="AD38" s="176"/>
      <c r="AE38" s="176"/>
      <c r="AF38" s="176"/>
      <c r="AG38" s="176"/>
    </row>
    <row r="39" spans="1:33" x14ac:dyDescent="0.25">
      <c r="A39" s="176"/>
      <c r="B39" s="176"/>
      <c r="C39" s="176"/>
      <c r="D39" s="176"/>
      <c r="E39" s="176"/>
      <c r="F39" s="176"/>
      <c r="G39" s="176"/>
      <c r="H39" s="176"/>
      <c r="I39" s="176"/>
      <c r="J39" s="176"/>
      <c r="K39" s="176"/>
      <c r="L39" s="176"/>
      <c r="M39" s="176"/>
      <c r="N39" s="176"/>
      <c r="O39" s="176"/>
      <c r="P39" s="176"/>
      <c r="Q39" s="176"/>
      <c r="R39" s="176"/>
      <c r="S39" s="176"/>
      <c r="T39" s="176"/>
      <c r="U39" s="176"/>
      <c r="V39" s="176"/>
      <c r="W39" s="176"/>
      <c r="X39" s="176"/>
      <c r="Y39" s="176"/>
      <c r="Z39" s="176"/>
      <c r="AA39" s="176"/>
      <c r="AB39" s="176"/>
      <c r="AC39" s="176"/>
      <c r="AD39" s="176"/>
      <c r="AE39" s="176"/>
      <c r="AF39" s="176"/>
      <c r="AG39" s="176"/>
    </row>
    <row r="40" spans="1:33" x14ac:dyDescent="0.25">
      <c r="A40" s="176"/>
      <c r="B40" s="176"/>
      <c r="C40" s="176"/>
      <c r="D40" s="176"/>
      <c r="E40" s="176"/>
      <c r="F40" s="176"/>
      <c r="G40" s="176"/>
      <c r="H40" s="176"/>
      <c r="I40" s="176"/>
      <c r="J40" s="176"/>
      <c r="K40" s="176"/>
      <c r="L40" s="176"/>
      <c r="M40" s="176"/>
      <c r="N40" s="176"/>
      <c r="O40" s="176"/>
      <c r="P40" s="176"/>
      <c r="Q40" s="176"/>
      <c r="R40" s="176"/>
      <c r="S40" s="176"/>
      <c r="T40" s="176"/>
      <c r="U40" s="176"/>
      <c r="V40" s="176"/>
      <c r="W40" s="176"/>
      <c r="X40" s="176"/>
      <c r="Y40" s="176"/>
      <c r="Z40" s="176"/>
      <c r="AA40" s="176"/>
      <c r="AB40" s="176"/>
      <c r="AC40" s="176"/>
      <c r="AD40" s="176"/>
      <c r="AE40" s="176"/>
      <c r="AF40" s="176"/>
      <c r="AG40" s="176"/>
    </row>
    <row r="41" spans="1:33" x14ac:dyDescent="0.25">
      <c r="A41" s="176"/>
      <c r="B41" s="176"/>
      <c r="C41" s="176"/>
      <c r="D41" s="176"/>
      <c r="E41" s="176"/>
      <c r="F41" s="176"/>
      <c r="G41" s="176"/>
      <c r="H41" s="176"/>
      <c r="I41" s="176"/>
      <c r="J41" s="176"/>
      <c r="K41" s="176"/>
      <c r="L41" s="176"/>
      <c r="M41" s="176"/>
      <c r="N41" s="176"/>
      <c r="O41" s="176"/>
      <c r="P41" s="176"/>
      <c r="Q41" s="176"/>
      <c r="R41" s="176"/>
      <c r="S41" s="176"/>
      <c r="T41" s="176"/>
      <c r="U41" s="176"/>
      <c r="V41" s="176"/>
      <c r="W41" s="176"/>
      <c r="X41" s="176"/>
      <c r="Y41" s="176"/>
      <c r="Z41" s="176"/>
      <c r="AA41" s="176"/>
      <c r="AB41" s="176"/>
      <c r="AC41" s="176"/>
      <c r="AD41" s="176"/>
      <c r="AE41" s="176"/>
      <c r="AF41" s="176"/>
      <c r="AG41" s="176"/>
    </row>
    <row r="42" spans="1:33" x14ac:dyDescent="0.25">
      <c r="A42" s="176"/>
      <c r="B42" s="176"/>
      <c r="C42" s="176"/>
      <c r="D42" s="176"/>
      <c r="E42" s="176"/>
      <c r="F42" s="176"/>
      <c r="G42" s="176"/>
      <c r="H42" s="176"/>
      <c r="I42" s="176"/>
      <c r="J42" s="176"/>
      <c r="K42" s="176"/>
      <c r="L42" s="176"/>
      <c r="M42" s="176"/>
      <c r="N42" s="176"/>
      <c r="O42" s="176"/>
      <c r="P42" s="176"/>
      <c r="Q42" s="176"/>
      <c r="R42" s="176"/>
      <c r="S42" s="176"/>
      <c r="T42" s="176"/>
      <c r="U42" s="176"/>
      <c r="V42" s="176"/>
      <c r="W42" s="176"/>
      <c r="X42" s="176"/>
      <c r="Y42" s="176"/>
      <c r="Z42" s="176"/>
      <c r="AA42" s="176"/>
      <c r="AB42" s="176"/>
      <c r="AC42" s="176"/>
      <c r="AD42" s="176"/>
      <c r="AE42" s="176"/>
      <c r="AF42" s="176"/>
      <c r="AG42" s="176"/>
    </row>
    <row r="43" spans="1:33" x14ac:dyDescent="0.25">
      <c r="A43" s="176"/>
      <c r="B43" s="176"/>
      <c r="C43" s="176"/>
      <c r="D43" s="176"/>
      <c r="E43" s="176"/>
      <c r="F43" s="176"/>
      <c r="G43" s="176"/>
      <c r="H43" s="176"/>
      <c r="I43" s="176"/>
      <c r="J43" s="176"/>
      <c r="K43" s="176"/>
      <c r="L43" s="176"/>
      <c r="M43" s="176"/>
      <c r="N43" s="176"/>
      <c r="O43" s="176"/>
      <c r="P43" s="176"/>
      <c r="Q43" s="176"/>
      <c r="R43" s="176"/>
      <c r="S43" s="176"/>
      <c r="T43" s="176"/>
      <c r="U43" s="176"/>
      <c r="V43" s="176"/>
      <c r="W43" s="176"/>
      <c r="X43" s="176"/>
      <c r="Y43" s="176"/>
      <c r="Z43" s="176"/>
      <c r="AA43" s="176"/>
      <c r="AB43" s="176"/>
      <c r="AC43" s="176"/>
      <c r="AD43" s="176"/>
      <c r="AE43" s="176"/>
      <c r="AF43" s="176"/>
      <c r="AG43" s="176"/>
    </row>
    <row r="44" spans="1:33" x14ac:dyDescent="0.25">
      <c r="A44" s="176"/>
      <c r="B44" s="176"/>
      <c r="C44" s="176"/>
      <c r="D44" s="176"/>
      <c r="E44" s="176"/>
      <c r="F44" s="176"/>
      <c r="G44" s="176"/>
      <c r="H44" s="176"/>
      <c r="I44" s="176"/>
      <c r="J44" s="176"/>
      <c r="K44" s="176"/>
      <c r="L44" s="176"/>
      <c r="M44" s="176"/>
      <c r="N44" s="176"/>
      <c r="O44" s="176"/>
      <c r="P44" s="176"/>
      <c r="Q44" s="176"/>
      <c r="R44" s="176"/>
      <c r="S44" s="176"/>
      <c r="T44" s="176"/>
      <c r="U44" s="176"/>
      <c r="V44" s="176"/>
      <c r="W44" s="176"/>
      <c r="X44" s="176"/>
      <c r="Y44" s="176"/>
      <c r="Z44" s="176"/>
      <c r="AA44" s="176"/>
      <c r="AB44" s="176"/>
      <c r="AC44" s="176"/>
      <c r="AD44" s="176"/>
      <c r="AE44" s="176"/>
      <c r="AF44" s="176"/>
      <c r="AG44" s="176"/>
    </row>
    <row r="45" spans="1:33" x14ac:dyDescent="0.25">
      <c r="A45" s="176"/>
      <c r="B45" s="176"/>
      <c r="C45" s="176"/>
      <c r="D45" s="176"/>
      <c r="E45" s="176"/>
      <c r="F45" s="176"/>
      <c r="G45" s="176"/>
      <c r="H45" s="176"/>
      <c r="I45" s="176"/>
      <c r="J45" s="176"/>
      <c r="K45" s="176"/>
      <c r="L45" s="176"/>
      <c r="M45" s="176"/>
      <c r="N45" s="176"/>
      <c r="O45" s="176"/>
      <c r="P45" s="176"/>
      <c r="Q45" s="176"/>
      <c r="R45" s="176"/>
      <c r="S45" s="176"/>
      <c r="T45" s="176"/>
      <c r="U45" s="176"/>
      <c r="V45" s="176"/>
      <c r="W45" s="176"/>
      <c r="X45" s="176"/>
      <c r="Y45" s="176"/>
      <c r="Z45" s="176"/>
      <c r="AA45" s="176"/>
      <c r="AB45" s="176"/>
      <c r="AC45" s="176"/>
      <c r="AD45" s="176"/>
      <c r="AE45" s="176"/>
      <c r="AF45" s="176"/>
      <c r="AG45" s="176"/>
    </row>
    <row r="46" spans="1:33" x14ac:dyDescent="0.25">
      <c r="A46" s="176"/>
      <c r="B46" s="176"/>
      <c r="C46" s="176"/>
      <c r="D46" s="176"/>
      <c r="E46" s="176"/>
      <c r="F46" s="176"/>
      <c r="G46" s="176"/>
      <c r="H46" s="176"/>
      <c r="I46" s="176"/>
      <c r="J46" s="176"/>
      <c r="K46" s="176"/>
      <c r="L46" s="176"/>
      <c r="M46" s="176"/>
      <c r="N46" s="176"/>
      <c r="O46" s="176"/>
      <c r="P46" s="176"/>
      <c r="Q46" s="176"/>
      <c r="R46" s="176"/>
      <c r="S46" s="176"/>
      <c r="T46" s="176"/>
      <c r="U46" s="176"/>
      <c r="V46" s="176"/>
      <c r="W46" s="176"/>
      <c r="X46" s="176"/>
      <c r="Y46" s="176"/>
      <c r="Z46" s="176"/>
      <c r="AA46" s="176"/>
      <c r="AB46" s="176"/>
      <c r="AC46" s="176"/>
      <c r="AD46" s="176"/>
      <c r="AE46" s="176"/>
      <c r="AF46" s="176"/>
      <c r="AG46" s="176"/>
    </row>
    <row r="47" spans="1:33" x14ac:dyDescent="0.25">
      <c r="A47" s="176"/>
      <c r="B47" s="176"/>
      <c r="C47" s="176"/>
      <c r="D47" s="176"/>
      <c r="E47" s="176"/>
      <c r="F47" s="176"/>
      <c r="G47" s="176"/>
      <c r="H47" s="176"/>
      <c r="I47" s="176"/>
      <c r="J47" s="176"/>
      <c r="K47" s="176"/>
      <c r="L47" s="176"/>
      <c r="M47" s="176"/>
      <c r="N47" s="176"/>
      <c r="O47" s="176"/>
      <c r="P47" s="176"/>
      <c r="Q47" s="176"/>
      <c r="R47" s="176"/>
      <c r="S47" s="176"/>
      <c r="T47" s="176"/>
      <c r="U47" s="176"/>
      <c r="V47" s="176"/>
      <c r="W47" s="176"/>
      <c r="X47" s="176"/>
      <c r="Y47" s="176"/>
      <c r="Z47" s="176"/>
      <c r="AA47" s="176"/>
      <c r="AB47" s="176"/>
      <c r="AC47" s="176"/>
      <c r="AD47" s="176"/>
      <c r="AE47" s="176"/>
      <c r="AF47" s="176"/>
      <c r="AG47" s="176"/>
    </row>
    <row r="48" spans="1:33" x14ac:dyDescent="0.25">
      <c r="A48" s="176"/>
      <c r="B48" s="176"/>
      <c r="C48" s="176"/>
      <c r="D48" s="176"/>
      <c r="E48" s="176"/>
      <c r="F48" s="176"/>
      <c r="G48" s="176"/>
      <c r="H48" s="176"/>
      <c r="I48" s="176"/>
      <c r="J48" s="176"/>
      <c r="K48" s="176"/>
      <c r="L48" s="176"/>
      <c r="M48" s="176"/>
      <c r="N48" s="176"/>
      <c r="O48" s="176"/>
      <c r="P48" s="176"/>
      <c r="Q48" s="176"/>
      <c r="R48" s="176"/>
      <c r="S48" s="176"/>
      <c r="T48" s="176"/>
      <c r="U48" s="176"/>
      <c r="V48" s="176"/>
      <c r="W48" s="176"/>
      <c r="X48" s="176"/>
      <c r="Y48" s="176"/>
      <c r="Z48" s="176"/>
      <c r="AA48" s="176"/>
      <c r="AB48" s="176"/>
      <c r="AC48" s="176"/>
      <c r="AD48" s="176"/>
      <c r="AE48" s="176"/>
      <c r="AF48" s="176"/>
      <c r="AG48" s="176"/>
    </row>
    <row r="49" spans="1:33" x14ac:dyDescent="0.25">
      <c r="A49" s="176"/>
      <c r="B49" s="176"/>
      <c r="C49" s="176"/>
      <c r="D49" s="176"/>
      <c r="E49" s="176"/>
      <c r="F49" s="176"/>
      <c r="G49" s="176"/>
      <c r="H49" s="176"/>
      <c r="I49" s="176"/>
      <c r="J49" s="176"/>
      <c r="K49" s="176"/>
      <c r="L49" s="176"/>
      <c r="M49" s="176"/>
      <c r="N49" s="176"/>
      <c r="O49" s="176"/>
      <c r="P49" s="176"/>
      <c r="Q49" s="176"/>
      <c r="R49" s="176"/>
      <c r="S49" s="176"/>
      <c r="T49" s="176"/>
      <c r="U49" s="176"/>
      <c r="V49" s="176"/>
      <c r="W49" s="176"/>
      <c r="X49" s="176"/>
      <c r="Y49" s="176"/>
      <c r="Z49" s="176"/>
      <c r="AA49" s="176"/>
      <c r="AB49" s="176"/>
      <c r="AC49" s="176"/>
      <c r="AD49" s="176"/>
      <c r="AE49" s="176"/>
      <c r="AF49" s="176"/>
      <c r="AG49" s="176"/>
    </row>
    <row r="50" spans="1:33" x14ac:dyDescent="0.25">
      <c r="A50" s="176"/>
      <c r="B50" s="176"/>
      <c r="C50" s="176"/>
      <c r="D50" s="176"/>
      <c r="E50" s="176"/>
      <c r="F50" s="176"/>
      <c r="G50" s="176"/>
      <c r="H50" s="176"/>
      <c r="I50" s="176"/>
      <c r="J50" s="176"/>
      <c r="K50" s="176"/>
      <c r="L50" s="176"/>
      <c r="M50" s="176"/>
      <c r="N50" s="176"/>
      <c r="O50" s="176"/>
      <c r="P50" s="176"/>
      <c r="Q50" s="176"/>
      <c r="R50" s="176"/>
      <c r="S50" s="176"/>
      <c r="T50" s="176"/>
      <c r="U50" s="176"/>
      <c r="V50" s="176"/>
      <c r="W50" s="176"/>
      <c r="X50" s="176"/>
      <c r="Y50" s="176"/>
      <c r="Z50" s="176"/>
      <c r="AA50" s="176"/>
      <c r="AB50" s="176"/>
      <c r="AC50" s="176"/>
      <c r="AD50" s="176"/>
      <c r="AE50" s="176"/>
      <c r="AF50" s="176"/>
      <c r="AG50" s="176"/>
    </row>
    <row r="51" spans="1:33" x14ac:dyDescent="0.25">
      <c r="A51" s="176"/>
      <c r="B51" s="176"/>
      <c r="C51" s="176"/>
      <c r="D51" s="176"/>
      <c r="E51" s="176"/>
      <c r="F51" s="176"/>
      <c r="G51" s="176"/>
      <c r="H51" s="176"/>
      <c r="I51" s="176"/>
      <c r="J51" s="176"/>
      <c r="K51" s="176"/>
      <c r="L51" s="176"/>
      <c r="M51" s="176"/>
      <c r="N51" s="176"/>
      <c r="O51" s="176"/>
      <c r="P51" s="176"/>
      <c r="Q51" s="176"/>
      <c r="R51" s="176"/>
      <c r="S51" s="176"/>
      <c r="T51" s="176"/>
      <c r="U51" s="176"/>
      <c r="V51" s="176"/>
      <c r="W51" s="176"/>
      <c r="X51" s="176"/>
      <c r="Y51" s="176"/>
      <c r="Z51" s="176"/>
      <c r="AA51" s="176"/>
      <c r="AB51" s="176"/>
      <c r="AC51" s="176"/>
      <c r="AD51" s="176"/>
      <c r="AE51" s="176"/>
      <c r="AF51" s="176"/>
      <c r="AG51" s="176"/>
    </row>
    <row r="52" spans="1:33" x14ac:dyDescent="0.25">
      <c r="A52" s="176"/>
      <c r="B52" s="176"/>
      <c r="C52" s="176"/>
      <c r="D52" s="176"/>
      <c r="E52" s="176"/>
      <c r="F52" s="176"/>
      <c r="G52" s="176"/>
      <c r="H52" s="176"/>
      <c r="I52" s="176"/>
      <c r="J52" s="176"/>
      <c r="K52" s="176"/>
      <c r="L52" s="176"/>
      <c r="M52" s="176"/>
      <c r="N52" s="176"/>
      <c r="O52" s="176"/>
      <c r="P52" s="176"/>
      <c r="Q52" s="176"/>
      <c r="R52" s="176"/>
      <c r="S52" s="176"/>
      <c r="T52" s="176"/>
      <c r="U52" s="176"/>
      <c r="V52" s="176"/>
      <c r="W52" s="176"/>
      <c r="X52" s="176"/>
      <c r="Y52" s="176"/>
      <c r="Z52" s="176"/>
      <c r="AA52" s="176"/>
      <c r="AB52" s="176"/>
      <c r="AC52" s="176"/>
      <c r="AD52" s="176"/>
      <c r="AE52" s="176"/>
      <c r="AF52" s="176"/>
      <c r="AG52" s="176"/>
    </row>
    <row r="74" spans="5:5" ht="20.25" x14ac:dyDescent="0.25">
      <c r="E74" s="173" t="s">
        <v>314</v>
      </c>
    </row>
    <row r="75" spans="5:5" ht="31.5" x14ac:dyDescent="0.5">
      <c r="E75" s="172">
        <v>280633000</v>
      </c>
    </row>
    <row r="77" spans="5:5" ht="20.25" x14ac:dyDescent="0.3">
      <c r="E77" s="171" t="s">
        <v>642</v>
      </c>
    </row>
    <row r="78" spans="5:5" ht="31.5" x14ac:dyDescent="0.5">
      <c r="E78" s="172">
        <v>1275604.5454545454</v>
      </c>
    </row>
    <row r="80" spans="5:5" ht="20.25" x14ac:dyDescent="0.3">
      <c r="E80" s="171" t="s">
        <v>643</v>
      </c>
    </row>
    <row r="81" spans="5:5" ht="26.25" x14ac:dyDescent="0.4">
      <c r="E81" s="175">
        <v>220</v>
      </c>
    </row>
    <row r="83" spans="5:5" ht="20.25" x14ac:dyDescent="0.3">
      <c r="E83" s="171" t="s">
        <v>644</v>
      </c>
    </row>
    <row r="84" spans="5:5" ht="31.5" x14ac:dyDescent="0.5">
      <c r="E84" s="174">
        <v>2999</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103F7-7E2C-4C04-BAA2-B9A014A7D438}">
  <dimension ref="A2:J10"/>
  <sheetViews>
    <sheetView zoomScaleNormal="100" workbookViewId="0">
      <selection activeCell="X6" sqref="X6"/>
    </sheetView>
  </sheetViews>
  <sheetFormatPr defaultRowHeight="15" x14ac:dyDescent="0.25"/>
  <cols>
    <col min="1" max="1" width="10.42578125" customWidth="1"/>
    <col min="2" max="2" width="6.140625" customWidth="1"/>
    <col min="4" max="4" width="5.28515625" customWidth="1"/>
    <col min="5" max="7" width="16.5703125" customWidth="1"/>
    <col min="8" max="9" width="17.140625" customWidth="1"/>
    <col min="10" max="10" width="29.28515625" customWidth="1"/>
  </cols>
  <sheetData>
    <row r="2" spans="1:10" x14ac:dyDescent="0.25">
      <c r="D2" s="218" t="s">
        <v>285</v>
      </c>
      <c r="E2" s="218"/>
      <c r="F2" s="218"/>
      <c r="G2" s="218"/>
      <c r="H2" s="218"/>
      <c r="I2" s="218"/>
      <c r="J2" s="218"/>
    </row>
    <row r="3" spans="1:10" ht="30" x14ac:dyDescent="0.25">
      <c r="A3" s="218" t="s">
        <v>284</v>
      </c>
      <c r="B3" s="218"/>
      <c r="D3" s="22" t="s">
        <v>286</v>
      </c>
      <c r="E3" s="22" t="s">
        <v>287</v>
      </c>
      <c r="F3" s="22" t="s">
        <v>288</v>
      </c>
      <c r="G3" s="22" t="s">
        <v>289</v>
      </c>
      <c r="H3" s="22" t="s">
        <v>290</v>
      </c>
      <c r="I3" s="22" t="s">
        <v>291</v>
      </c>
      <c r="J3" s="22" t="s">
        <v>296</v>
      </c>
    </row>
    <row r="4" spans="1:10" ht="135" x14ac:dyDescent="0.25">
      <c r="A4" s="20" t="s">
        <v>281</v>
      </c>
      <c r="B4" s="23">
        <v>224</v>
      </c>
      <c r="D4" s="21">
        <v>1</v>
      </c>
      <c r="E4" s="21" t="s">
        <v>292</v>
      </c>
      <c r="F4" s="21" t="s">
        <v>2</v>
      </c>
      <c r="G4" s="21">
        <v>3</v>
      </c>
      <c r="H4" s="21" t="s">
        <v>293</v>
      </c>
      <c r="I4" s="21" t="s">
        <v>294</v>
      </c>
      <c r="J4" s="21" t="s">
        <v>297</v>
      </c>
    </row>
    <row r="5" spans="1:10" ht="75" x14ac:dyDescent="0.25">
      <c r="A5" s="20" t="s">
        <v>282</v>
      </c>
      <c r="B5" s="23">
        <v>220</v>
      </c>
      <c r="D5" s="21">
        <v>2</v>
      </c>
      <c r="E5" s="21" t="s">
        <v>292</v>
      </c>
      <c r="F5" s="21" t="s">
        <v>8</v>
      </c>
      <c r="G5" s="21">
        <v>3</v>
      </c>
      <c r="H5" s="21" t="s">
        <v>295</v>
      </c>
      <c r="I5" s="21" t="s">
        <v>294</v>
      </c>
      <c r="J5" s="21" t="s">
        <v>298</v>
      </c>
    </row>
    <row r="6" spans="1:10" ht="75" x14ac:dyDescent="0.25">
      <c r="A6" s="20" t="s">
        <v>283</v>
      </c>
      <c r="B6" s="23">
        <v>4</v>
      </c>
      <c r="D6" s="21">
        <v>3</v>
      </c>
      <c r="E6" s="21" t="s">
        <v>299</v>
      </c>
      <c r="F6" s="21" t="s">
        <v>300</v>
      </c>
      <c r="G6" s="21">
        <v>4</v>
      </c>
      <c r="H6" s="21" t="s">
        <v>301</v>
      </c>
      <c r="I6" s="21" t="s">
        <v>302</v>
      </c>
      <c r="J6" s="21" t="s">
        <v>303</v>
      </c>
    </row>
    <row r="7" spans="1:10" ht="120" x14ac:dyDescent="0.25">
      <c r="D7" s="21">
        <v>4</v>
      </c>
      <c r="E7" s="21" t="s">
        <v>304</v>
      </c>
      <c r="F7" s="21" t="s">
        <v>2</v>
      </c>
      <c r="G7" s="21" t="s">
        <v>305</v>
      </c>
      <c r="H7" s="21" t="s">
        <v>306</v>
      </c>
      <c r="I7" s="21" t="s">
        <v>307</v>
      </c>
      <c r="J7" s="21" t="s">
        <v>308</v>
      </c>
    </row>
    <row r="8" spans="1:10" ht="90" x14ac:dyDescent="0.25">
      <c r="D8" s="21">
        <v>5</v>
      </c>
      <c r="E8" s="21" t="s">
        <v>309</v>
      </c>
      <c r="F8" s="21" t="s">
        <v>310</v>
      </c>
      <c r="G8" s="21" t="s">
        <v>311</v>
      </c>
      <c r="H8" s="21" t="s">
        <v>306</v>
      </c>
      <c r="I8" s="21" t="s">
        <v>312</v>
      </c>
      <c r="J8" s="21" t="s">
        <v>313</v>
      </c>
    </row>
    <row r="9" spans="1:10" x14ac:dyDescent="0.25">
      <c r="D9" s="19"/>
      <c r="E9" s="19"/>
      <c r="F9" s="19"/>
      <c r="G9" s="19"/>
      <c r="H9" s="19"/>
      <c r="I9" s="19"/>
    </row>
    <row r="10" spans="1:10" x14ac:dyDescent="0.25">
      <c r="D10" s="19"/>
      <c r="E10" s="19"/>
      <c r="F10" s="19"/>
      <c r="G10" s="19"/>
      <c r="H10" s="19"/>
      <c r="I10" s="19"/>
    </row>
  </sheetData>
  <mergeCells count="2">
    <mergeCell ref="A3:B3"/>
    <mergeCell ref="D2:J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25"/>
  <sheetViews>
    <sheetView topLeftCell="C1" zoomScaleNormal="100" workbookViewId="0">
      <pane ySplit="1" topLeftCell="A2" activePane="bottomLeft" state="frozen"/>
      <selection pane="bottomLeft" activeCell="P14" sqref="P14"/>
    </sheetView>
  </sheetViews>
  <sheetFormatPr defaultColWidth="8.7109375" defaultRowHeight="15" x14ac:dyDescent="0.25"/>
  <cols>
    <col min="1" max="1" width="12" customWidth="1"/>
    <col min="2" max="2" width="14" style="15" customWidth="1"/>
    <col min="3" max="3" width="12" customWidth="1"/>
    <col min="4" max="4" width="15" customWidth="1"/>
    <col min="5" max="5" width="22" customWidth="1"/>
    <col min="6" max="6" width="9" customWidth="1"/>
    <col min="7" max="7" width="14" customWidth="1"/>
    <col min="8" max="8" width="15" customWidth="1"/>
    <col min="9" max="9" width="18" customWidth="1"/>
    <col min="10" max="10" width="15" customWidth="1"/>
    <col min="13" max="13" width="13.7109375" customWidth="1"/>
    <col min="14" max="14" width="18.140625" customWidth="1"/>
  </cols>
  <sheetData>
    <row r="1" spans="1:16" ht="15" customHeight="1" x14ac:dyDescent="0.25">
      <c r="A1" s="1" t="s">
        <v>0</v>
      </c>
      <c r="B1" s="14" t="s">
        <v>1</v>
      </c>
      <c r="C1" s="7" t="s">
        <v>2</v>
      </c>
      <c r="D1" s="1" t="s">
        <v>3</v>
      </c>
      <c r="E1" s="1" t="s">
        <v>4</v>
      </c>
      <c r="F1" s="1" t="s">
        <v>5</v>
      </c>
      <c r="G1" s="1" t="s">
        <v>6</v>
      </c>
      <c r="H1" s="1" t="s">
        <v>7</v>
      </c>
      <c r="I1" s="1" t="s">
        <v>8</v>
      </c>
      <c r="J1" s="1" t="s">
        <v>9</v>
      </c>
      <c r="K1" t="s">
        <v>316</v>
      </c>
      <c r="M1" s="16" t="s">
        <v>5</v>
      </c>
      <c r="N1" s="18" t="s">
        <v>278</v>
      </c>
      <c r="O1" s="17" t="s">
        <v>279</v>
      </c>
      <c r="P1" s="19" t="s">
        <v>280</v>
      </c>
    </row>
    <row r="2" spans="1:16" ht="15" customHeight="1" x14ac:dyDescent="0.3">
      <c r="A2" s="2" t="s">
        <v>90</v>
      </c>
      <c r="B2" s="13">
        <v>45661</v>
      </c>
      <c r="C2" s="8" t="s">
        <v>16</v>
      </c>
      <c r="D2" s="2" t="s">
        <v>17</v>
      </c>
      <c r="E2" s="2" t="s">
        <v>22</v>
      </c>
      <c r="F2" s="2">
        <v>15</v>
      </c>
      <c r="G2" s="3">
        <v>58000</v>
      </c>
      <c r="H2" s="3">
        <f t="shared" ref="H2:H65" si="0">F2*G2</f>
        <v>870000</v>
      </c>
      <c r="I2" s="2" t="s">
        <v>37</v>
      </c>
      <c r="J2" s="2" t="s">
        <v>14</v>
      </c>
      <c r="K2" t="str">
        <f t="shared" ref="K2:K65" si="1">TEXT(B2,"MMMM")</f>
        <v>January</v>
      </c>
      <c r="M2" t="b">
        <f>ISNUMBER(F2)</f>
        <v>1</v>
      </c>
      <c r="N2" s="12">
        <f>VALUE(SUBSTITUTE(SUBSTITUTE(G2,"Rp",""),",",""))</f>
        <v>58000</v>
      </c>
      <c r="O2" s="12" t="b">
        <f>AND(B2&gt;=DATE(2025,1,1), B2&lt;=DATE(2025,12,31))</f>
        <v>1</v>
      </c>
      <c r="P2" t="b">
        <f>ROUND(F2*G2,0)=ROUND(H2,0)</f>
        <v>1</v>
      </c>
    </row>
    <row r="3" spans="1:16" ht="15" customHeight="1" x14ac:dyDescent="0.3">
      <c r="A3" s="2" t="s">
        <v>225</v>
      </c>
      <c r="B3" s="13">
        <v>45664</v>
      </c>
      <c r="C3" s="8" t="s">
        <v>45</v>
      </c>
      <c r="D3" s="2" t="s">
        <v>55</v>
      </c>
      <c r="E3" s="2" t="s">
        <v>56</v>
      </c>
      <c r="F3" s="2">
        <v>16</v>
      </c>
      <c r="G3" s="3">
        <v>38000</v>
      </c>
      <c r="H3" s="3">
        <f t="shared" si="0"/>
        <v>608000</v>
      </c>
      <c r="I3" s="2" t="s">
        <v>33</v>
      </c>
      <c r="J3" s="2" t="s">
        <v>14</v>
      </c>
      <c r="K3" t="str">
        <f t="shared" si="1"/>
        <v>January</v>
      </c>
      <c r="M3" t="b">
        <f t="shared" ref="M3:M66" si="2">ISNUMBER(F3)</f>
        <v>1</v>
      </c>
      <c r="N3" s="12">
        <f t="shared" ref="N3:N66" si="3">VALUE(SUBSTITUTE(SUBSTITUTE(G3,"Rp",""),",",""))</f>
        <v>38000</v>
      </c>
      <c r="O3" s="12" t="b">
        <f t="shared" ref="O3:O66" si="4">AND(B3&gt;=DATE(2025,1,1), B3&lt;=DATE(2025,12,31))</f>
        <v>1</v>
      </c>
      <c r="P3" t="b">
        <f t="shared" ref="P3:P66" si="5">ROUND(F3*G3,0)=ROUND(H3,0)</f>
        <v>1</v>
      </c>
    </row>
    <row r="4" spans="1:16" ht="15" customHeight="1" x14ac:dyDescent="0.3">
      <c r="A4" s="2" t="s">
        <v>151</v>
      </c>
      <c r="B4" s="13">
        <v>45665</v>
      </c>
      <c r="C4" s="8" t="s">
        <v>51</v>
      </c>
      <c r="D4" s="2" t="s">
        <v>17</v>
      </c>
      <c r="E4" s="2" t="s">
        <v>53</v>
      </c>
      <c r="F4" s="2">
        <v>8</v>
      </c>
      <c r="G4" s="3">
        <v>35000</v>
      </c>
      <c r="H4" s="3">
        <f t="shared" si="0"/>
        <v>280000</v>
      </c>
      <c r="I4" s="2" t="s">
        <v>26</v>
      </c>
      <c r="J4" s="2" t="s">
        <v>14</v>
      </c>
      <c r="K4" t="str">
        <f t="shared" si="1"/>
        <v>January</v>
      </c>
      <c r="M4" t="b">
        <f t="shared" si="2"/>
        <v>1</v>
      </c>
      <c r="N4" s="12">
        <f t="shared" si="3"/>
        <v>35000</v>
      </c>
      <c r="O4" s="12" t="b">
        <f t="shared" si="4"/>
        <v>1</v>
      </c>
      <c r="P4" t="b">
        <f t="shared" si="5"/>
        <v>1</v>
      </c>
    </row>
    <row r="5" spans="1:16" ht="15" customHeight="1" x14ac:dyDescent="0.3">
      <c r="A5" s="2" t="s">
        <v>141</v>
      </c>
      <c r="B5" s="13">
        <v>45666</v>
      </c>
      <c r="C5" s="8" t="s">
        <v>42</v>
      </c>
      <c r="D5" s="2" t="s">
        <v>55</v>
      </c>
      <c r="E5" s="2" t="s">
        <v>58</v>
      </c>
      <c r="F5" s="2">
        <v>5</v>
      </c>
      <c r="G5" s="3">
        <v>82000</v>
      </c>
      <c r="H5" s="3">
        <f t="shared" si="0"/>
        <v>410000</v>
      </c>
      <c r="I5" s="2" t="s">
        <v>13</v>
      </c>
      <c r="J5" s="2" t="s">
        <v>14</v>
      </c>
      <c r="K5" t="str">
        <f t="shared" si="1"/>
        <v>January</v>
      </c>
      <c r="M5" t="b">
        <f t="shared" si="2"/>
        <v>1</v>
      </c>
      <c r="N5" s="12">
        <f t="shared" si="3"/>
        <v>82000</v>
      </c>
      <c r="O5" s="12" t="b">
        <f t="shared" si="4"/>
        <v>1</v>
      </c>
      <c r="P5" t="b">
        <f t="shared" si="5"/>
        <v>1</v>
      </c>
    </row>
    <row r="6" spans="1:16" ht="15" customHeight="1" x14ac:dyDescent="0.3">
      <c r="A6" s="2" t="s">
        <v>195</v>
      </c>
      <c r="B6" s="13">
        <v>45666</v>
      </c>
      <c r="C6" s="8" t="s">
        <v>80</v>
      </c>
      <c r="D6" s="2" t="s">
        <v>55</v>
      </c>
      <c r="E6" s="2" t="s">
        <v>58</v>
      </c>
      <c r="F6" s="2">
        <v>14</v>
      </c>
      <c r="G6" s="3">
        <v>116000</v>
      </c>
      <c r="H6" s="3">
        <f t="shared" si="0"/>
        <v>1624000</v>
      </c>
      <c r="I6" s="2" t="s">
        <v>33</v>
      </c>
      <c r="J6" s="2" t="s">
        <v>14</v>
      </c>
      <c r="K6" t="str">
        <f t="shared" si="1"/>
        <v>January</v>
      </c>
      <c r="M6" t="b">
        <f t="shared" si="2"/>
        <v>1</v>
      </c>
      <c r="N6" s="12">
        <f t="shared" si="3"/>
        <v>116000</v>
      </c>
      <c r="O6" s="12" t="b">
        <f t="shared" si="4"/>
        <v>1</v>
      </c>
      <c r="P6" t="b">
        <f t="shared" si="5"/>
        <v>1</v>
      </c>
    </row>
    <row r="7" spans="1:16" ht="15" customHeight="1" x14ac:dyDescent="0.3">
      <c r="A7" s="2" t="s">
        <v>213</v>
      </c>
      <c r="B7" s="13">
        <v>45666</v>
      </c>
      <c r="C7" s="8" t="s">
        <v>51</v>
      </c>
      <c r="D7" s="2" t="s">
        <v>48</v>
      </c>
      <c r="E7" s="2" t="s">
        <v>66</v>
      </c>
      <c r="F7" s="2">
        <v>23</v>
      </c>
      <c r="G7" s="3">
        <v>108000</v>
      </c>
      <c r="H7" s="3">
        <f t="shared" si="0"/>
        <v>2484000</v>
      </c>
      <c r="I7" s="2" t="s">
        <v>19</v>
      </c>
      <c r="J7" s="2" t="s">
        <v>14</v>
      </c>
      <c r="K7" t="str">
        <f t="shared" si="1"/>
        <v>January</v>
      </c>
      <c r="M7" t="b">
        <f t="shared" si="2"/>
        <v>1</v>
      </c>
      <c r="N7" s="12">
        <f t="shared" si="3"/>
        <v>108000</v>
      </c>
      <c r="O7" s="12" t="b">
        <f t="shared" si="4"/>
        <v>1</v>
      </c>
      <c r="P7" t="b">
        <f t="shared" si="5"/>
        <v>1</v>
      </c>
    </row>
    <row r="8" spans="1:16" ht="15" customHeight="1" x14ac:dyDescent="0.3">
      <c r="A8" s="2" t="s">
        <v>139</v>
      </c>
      <c r="B8" s="13">
        <v>45672</v>
      </c>
      <c r="C8" s="8" t="s">
        <v>28</v>
      </c>
      <c r="D8" s="2" t="s">
        <v>11</v>
      </c>
      <c r="E8" s="2" t="s">
        <v>12</v>
      </c>
      <c r="F8" s="2">
        <v>25</v>
      </c>
      <c r="G8" s="3">
        <v>182000</v>
      </c>
      <c r="H8" s="3">
        <f t="shared" si="0"/>
        <v>4550000</v>
      </c>
      <c r="I8" s="2" t="s">
        <v>37</v>
      </c>
      <c r="J8" s="2" t="s">
        <v>14</v>
      </c>
      <c r="K8" t="str">
        <f t="shared" si="1"/>
        <v>January</v>
      </c>
      <c r="M8" t="b">
        <f t="shared" si="2"/>
        <v>1</v>
      </c>
      <c r="N8" s="12">
        <f t="shared" si="3"/>
        <v>182000</v>
      </c>
      <c r="O8" s="12" t="b">
        <f t="shared" si="4"/>
        <v>1</v>
      </c>
      <c r="P8" t="b">
        <f t="shared" si="5"/>
        <v>1</v>
      </c>
    </row>
    <row r="9" spans="1:16" ht="15" customHeight="1" x14ac:dyDescent="0.3">
      <c r="A9" s="2" t="s">
        <v>250</v>
      </c>
      <c r="B9" s="13">
        <v>45674</v>
      </c>
      <c r="C9" s="8" t="s">
        <v>80</v>
      </c>
      <c r="D9" s="2" t="s">
        <v>11</v>
      </c>
      <c r="E9" s="2" t="s">
        <v>75</v>
      </c>
      <c r="F9" s="2">
        <v>8</v>
      </c>
      <c r="G9" s="3">
        <v>106000</v>
      </c>
      <c r="H9" s="3">
        <f t="shared" si="0"/>
        <v>848000</v>
      </c>
      <c r="I9" s="2" t="s">
        <v>37</v>
      </c>
      <c r="J9" s="2" t="s">
        <v>14</v>
      </c>
      <c r="K9" t="str">
        <f t="shared" si="1"/>
        <v>January</v>
      </c>
      <c r="M9" t="b">
        <f t="shared" si="2"/>
        <v>1</v>
      </c>
      <c r="N9" s="12">
        <f t="shared" si="3"/>
        <v>106000</v>
      </c>
      <c r="O9" s="12" t="b">
        <f t="shared" si="4"/>
        <v>1</v>
      </c>
      <c r="P9" t="b">
        <f t="shared" si="5"/>
        <v>1</v>
      </c>
    </row>
    <row r="10" spans="1:16" ht="15" customHeight="1" x14ac:dyDescent="0.3">
      <c r="A10" s="2" t="s">
        <v>227</v>
      </c>
      <c r="B10" s="13">
        <v>45676</v>
      </c>
      <c r="C10" s="8" t="s">
        <v>35</v>
      </c>
      <c r="D10" s="2" t="s">
        <v>17</v>
      </c>
      <c r="E10" s="2" t="s">
        <v>22</v>
      </c>
      <c r="F10" s="2">
        <v>24</v>
      </c>
      <c r="G10" s="3">
        <v>58000</v>
      </c>
      <c r="H10" s="3">
        <f t="shared" si="0"/>
        <v>1392000</v>
      </c>
      <c r="I10" s="2" t="s">
        <v>37</v>
      </c>
      <c r="J10" s="2" t="s">
        <v>14</v>
      </c>
      <c r="K10" t="str">
        <f t="shared" si="1"/>
        <v>January</v>
      </c>
      <c r="M10" t="b">
        <f t="shared" si="2"/>
        <v>1</v>
      </c>
      <c r="N10" s="12">
        <f t="shared" si="3"/>
        <v>58000</v>
      </c>
      <c r="O10" s="12" t="b">
        <f t="shared" si="4"/>
        <v>1</v>
      </c>
      <c r="P10" t="b">
        <f t="shared" si="5"/>
        <v>1</v>
      </c>
    </row>
    <row r="11" spans="1:16" ht="15" customHeight="1" x14ac:dyDescent="0.3">
      <c r="A11" s="2" t="s">
        <v>222</v>
      </c>
      <c r="B11" s="13">
        <v>45678</v>
      </c>
      <c r="C11" s="8" t="s">
        <v>80</v>
      </c>
      <c r="D11" s="2" t="s">
        <v>31</v>
      </c>
      <c r="E11" s="2" t="s">
        <v>36</v>
      </c>
      <c r="F11" s="2">
        <v>22</v>
      </c>
      <c r="G11" s="3">
        <v>135000</v>
      </c>
      <c r="H11" s="3">
        <f t="shared" si="0"/>
        <v>2970000</v>
      </c>
      <c r="I11" s="2" t="s">
        <v>33</v>
      </c>
      <c r="J11" s="2" t="s">
        <v>59</v>
      </c>
      <c r="K11" t="str">
        <f t="shared" si="1"/>
        <v>January</v>
      </c>
      <c r="M11" t="b">
        <f t="shared" si="2"/>
        <v>1</v>
      </c>
      <c r="N11" s="12">
        <f t="shared" si="3"/>
        <v>135000</v>
      </c>
      <c r="O11" s="12" t="b">
        <f t="shared" si="4"/>
        <v>1</v>
      </c>
      <c r="P11" t="b">
        <f t="shared" si="5"/>
        <v>1</v>
      </c>
    </row>
    <row r="12" spans="1:16" ht="15" customHeight="1" x14ac:dyDescent="0.3">
      <c r="A12" s="2" t="s">
        <v>210</v>
      </c>
      <c r="B12" s="13">
        <v>45679</v>
      </c>
      <c r="C12" s="8" t="s">
        <v>80</v>
      </c>
      <c r="D12" s="2" t="s">
        <v>55</v>
      </c>
      <c r="E12" s="2" t="s">
        <v>92</v>
      </c>
      <c r="F12" s="2">
        <v>13</v>
      </c>
      <c r="G12" s="3">
        <v>47000</v>
      </c>
      <c r="H12" s="3">
        <f t="shared" si="0"/>
        <v>611000</v>
      </c>
      <c r="I12" s="2" t="s">
        <v>26</v>
      </c>
      <c r="J12" s="2" t="s">
        <v>14</v>
      </c>
      <c r="K12" t="str">
        <f t="shared" si="1"/>
        <v>January</v>
      </c>
      <c r="M12" t="b">
        <f t="shared" si="2"/>
        <v>1</v>
      </c>
      <c r="N12" s="12">
        <f t="shared" si="3"/>
        <v>47000</v>
      </c>
      <c r="O12" s="12" t="b">
        <f t="shared" si="4"/>
        <v>1</v>
      </c>
      <c r="P12" t="b">
        <f t="shared" si="5"/>
        <v>1</v>
      </c>
    </row>
    <row r="13" spans="1:16" ht="15" customHeight="1" x14ac:dyDescent="0.3">
      <c r="A13" s="2" t="s">
        <v>71</v>
      </c>
      <c r="B13" s="13">
        <v>45681</v>
      </c>
      <c r="C13" s="8" t="s">
        <v>21</v>
      </c>
      <c r="D13" s="2" t="s">
        <v>17</v>
      </c>
      <c r="E13" s="2" t="s">
        <v>53</v>
      </c>
      <c r="F13" s="2">
        <v>15</v>
      </c>
      <c r="G13" s="3">
        <v>69000</v>
      </c>
      <c r="H13" s="3">
        <f t="shared" si="0"/>
        <v>1035000</v>
      </c>
      <c r="I13" s="2" t="s">
        <v>33</v>
      </c>
      <c r="J13" s="2" t="s">
        <v>14</v>
      </c>
      <c r="K13" t="str">
        <f t="shared" si="1"/>
        <v>January</v>
      </c>
      <c r="M13" t="b">
        <f t="shared" si="2"/>
        <v>1</v>
      </c>
      <c r="N13" s="12">
        <f t="shared" si="3"/>
        <v>69000</v>
      </c>
      <c r="O13" s="12" t="b">
        <f t="shared" si="4"/>
        <v>1</v>
      </c>
      <c r="P13" t="b">
        <f t="shared" si="5"/>
        <v>1</v>
      </c>
    </row>
    <row r="14" spans="1:16" ht="15" customHeight="1" x14ac:dyDescent="0.3">
      <c r="A14" s="2" t="s">
        <v>201</v>
      </c>
      <c r="B14" s="13">
        <v>45682</v>
      </c>
      <c r="C14" s="8" t="s">
        <v>80</v>
      </c>
      <c r="D14" s="2" t="s">
        <v>55</v>
      </c>
      <c r="E14" s="2" t="s">
        <v>58</v>
      </c>
      <c r="F14" s="2">
        <v>12</v>
      </c>
      <c r="G14" s="3">
        <v>110000</v>
      </c>
      <c r="H14" s="3">
        <f t="shared" si="0"/>
        <v>1320000</v>
      </c>
      <c r="I14" s="2" t="s">
        <v>33</v>
      </c>
      <c r="J14" s="2" t="s">
        <v>14</v>
      </c>
      <c r="K14" t="str">
        <f t="shared" si="1"/>
        <v>January</v>
      </c>
      <c r="M14" t="b">
        <f t="shared" si="2"/>
        <v>1</v>
      </c>
      <c r="N14" s="12">
        <f t="shared" si="3"/>
        <v>110000</v>
      </c>
      <c r="O14" s="12" t="b">
        <f t="shared" si="4"/>
        <v>1</v>
      </c>
      <c r="P14" t="b">
        <f t="shared" si="5"/>
        <v>1</v>
      </c>
    </row>
    <row r="15" spans="1:16" ht="15" customHeight="1" x14ac:dyDescent="0.3">
      <c r="A15" s="2" t="s">
        <v>43</v>
      </c>
      <c r="B15" s="13">
        <v>45682</v>
      </c>
      <c r="C15" s="8" t="s">
        <v>28</v>
      </c>
      <c r="D15" s="2" t="s">
        <v>31</v>
      </c>
      <c r="E15" s="2" t="s">
        <v>36</v>
      </c>
      <c r="F15" s="2">
        <v>22</v>
      </c>
      <c r="G15" s="3">
        <v>61000</v>
      </c>
      <c r="H15" s="3">
        <f t="shared" si="0"/>
        <v>1342000</v>
      </c>
      <c r="I15" s="2" t="s">
        <v>33</v>
      </c>
      <c r="J15" s="2" t="s">
        <v>14</v>
      </c>
      <c r="K15" t="str">
        <f t="shared" si="1"/>
        <v>January</v>
      </c>
      <c r="M15" t="b">
        <f t="shared" si="2"/>
        <v>1</v>
      </c>
      <c r="N15" s="12">
        <f t="shared" si="3"/>
        <v>61000</v>
      </c>
      <c r="O15" s="12" t="b">
        <f t="shared" si="4"/>
        <v>1</v>
      </c>
      <c r="P15" t="b">
        <f t="shared" si="5"/>
        <v>1</v>
      </c>
    </row>
    <row r="16" spans="1:16" ht="15" customHeight="1" x14ac:dyDescent="0.3">
      <c r="A16" s="2" t="s">
        <v>81</v>
      </c>
      <c r="B16" s="13">
        <v>45682</v>
      </c>
      <c r="C16" s="8" t="s">
        <v>21</v>
      </c>
      <c r="D16" s="2" t="s">
        <v>11</v>
      </c>
      <c r="E16" s="2" t="s">
        <v>39</v>
      </c>
      <c r="F16" s="2">
        <v>15</v>
      </c>
      <c r="G16" s="3">
        <v>94000</v>
      </c>
      <c r="H16" s="3">
        <f t="shared" si="0"/>
        <v>1410000</v>
      </c>
      <c r="I16" s="2" t="s">
        <v>37</v>
      </c>
      <c r="J16" s="2" t="s">
        <v>59</v>
      </c>
      <c r="K16" t="str">
        <f t="shared" si="1"/>
        <v>January</v>
      </c>
      <c r="M16" t="b">
        <f t="shared" si="2"/>
        <v>1</v>
      </c>
      <c r="N16" s="12">
        <f t="shared" si="3"/>
        <v>94000</v>
      </c>
      <c r="O16" s="12" t="b">
        <f t="shared" si="4"/>
        <v>1</v>
      </c>
      <c r="P16" t="b">
        <f t="shared" si="5"/>
        <v>1</v>
      </c>
    </row>
    <row r="17" spans="1:16" ht="15" customHeight="1" x14ac:dyDescent="0.3">
      <c r="A17" s="2" t="s">
        <v>128</v>
      </c>
      <c r="B17" s="13">
        <v>45683</v>
      </c>
      <c r="C17" s="8" t="s">
        <v>51</v>
      </c>
      <c r="D17" s="2" t="s">
        <v>31</v>
      </c>
      <c r="E17" s="2" t="s">
        <v>36</v>
      </c>
      <c r="F17" s="2">
        <v>2</v>
      </c>
      <c r="G17" s="3">
        <v>150000</v>
      </c>
      <c r="H17" s="3">
        <f t="shared" si="0"/>
        <v>300000</v>
      </c>
      <c r="I17" s="2" t="s">
        <v>26</v>
      </c>
      <c r="J17" s="2" t="s">
        <v>14</v>
      </c>
      <c r="K17" t="str">
        <f t="shared" si="1"/>
        <v>January</v>
      </c>
      <c r="M17" t="b">
        <f t="shared" si="2"/>
        <v>1</v>
      </c>
      <c r="N17" s="12">
        <f t="shared" si="3"/>
        <v>150000</v>
      </c>
      <c r="O17" s="12" t="b">
        <f t="shared" si="4"/>
        <v>1</v>
      </c>
      <c r="P17" t="b">
        <f t="shared" si="5"/>
        <v>1</v>
      </c>
    </row>
    <row r="18" spans="1:16" ht="15" customHeight="1" x14ac:dyDescent="0.3">
      <c r="A18" s="2" t="s">
        <v>126</v>
      </c>
      <c r="B18" s="13">
        <v>45684</v>
      </c>
      <c r="C18" s="8" t="s">
        <v>80</v>
      </c>
      <c r="D18" s="2" t="s">
        <v>11</v>
      </c>
      <c r="E18" s="2" t="s">
        <v>127</v>
      </c>
      <c r="F18" s="2">
        <v>4</v>
      </c>
      <c r="G18" s="3">
        <v>177000</v>
      </c>
      <c r="H18" s="3">
        <f t="shared" si="0"/>
        <v>708000</v>
      </c>
      <c r="I18" s="2" t="s">
        <v>37</v>
      </c>
      <c r="J18" s="2" t="s">
        <v>23</v>
      </c>
      <c r="K18" t="str">
        <f t="shared" si="1"/>
        <v>January</v>
      </c>
      <c r="M18" t="b">
        <f t="shared" si="2"/>
        <v>1</v>
      </c>
      <c r="N18" s="12">
        <f t="shared" si="3"/>
        <v>177000</v>
      </c>
      <c r="O18" s="12" t="b">
        <f t="shared" si="4"/>
        <v>1</v>
      </c>
      <c r="P18" t="b">
        <f t="shared" si="5"/>
        <v>1</v>
      </c>
    </row>
    <row r="19" spans="1:16" ht="15" customHeight="1" x14ac:dyDescent="0.3">
      <c r="A19" s="2" t="s">
        <v>134</v>
      </c>
      <c r="B19" s="13">
        <v>45685</v>
      </c>
      <c r="C19" s="8" t="s">
        <v>21</v>
      </c>
      <c r="D19" s="2" t="s">
        <v>48</v>
      </c>
      <c r="E19" s="2" t="s">
        <v>89</v>
      </c>
      <c r="F19" s="2">
        <v>20</v>
      </c>
      <c r="G19" s="3">
        <v>127000</v>
      </c>
      <c r="H19" s="3">
        <f t="shared" si="0"/>
        <v>2540000</v>
      </c>
      <c r="I19" s="2" t="s">
        <v>13</v>
      </c>
      <c r="J19" s="2" t="s">
        <v>14</v>
      </c>
      <c r="K19" t="str">
        <f t="shared" si="1"/>
        <v>January</v>
      </c>
      <c r="M19" t="b">
        <f t="shared" si="2"/>
        <v>1</v>
      </c>
      <c r="N19" s="12">
        <f t="shared" si="3"/>
        <v>127000</v>
      </c>
      <c r="O19" s="12" t="b">
        <f t="shared" si="4"/>
        <v>1</v>
      </c>
      <c r="P19" t="b">
        <f t="shared" si="5"/>
        <v>1</v>
      </c>
    </row>
    <row r="20" spans="1:16" ht="15" customHeight="1" x14ac:dyDescent="0.3">
      <c r="A20" s="2" t="s">
        <v>203</v>
      </c>
      <c r="B20" s="13">
        <v>45685</v>
      </c>
      <c r="C20" s="8" t="s">
        <v>28</v>
      </c>
      <c r="D20" s="2" t="s">
        <v>11</v>
      </c>
      <c r="E20" s="2" t="s">
        <v>39</v>
      </c>
      <c r="F20" s="2">
        <v>24</v>
      </c>
      <c r="G20" s="3">
        <v>121000</v>
      </c>
      <c r="H20" s="3">
        <f t="shared" si="0"/>
        <v>2904000</v>
      </c>
      <c r="I20" s="2" t="s">
        <v>37</v>
      </c>
      <c r="J20" s="2" t="s">
        <v>14</v>
      </c>
      <c r="K20" t="str">
        <f t="shared" si="1"/>
        <v>January</v>
      </c>
      <c r="M20" t="b">
        <f t="shared" si="2"/>
        <v>1</v>
      </c>
      <c r="N20" s="12">
        <f t="shared" si="3"/>
        <v>121000</v>
      </c>
      <c r="O20" s="12" t="b">
        <f t="shared" si="4"/>
        <v>1</v>
      </c>
      <c r="P20" t="b">
        <f t="shared" si="5"/>
        <v>1</v>
      </c>
    </row>
    <row r="21" spans="1:16" ht="15" customHeight="1" x14ac:dyDescent="0.3">
      <c r="A21" s="2" t="s">
        <v>41</v>
      </c>
      <c r="B21" s="13">
        <v>45688</v>
      </c>
      <c r="C21" s="8" t="s">
        <v>42</v>
      </c>
      <c r="D21" s="2" t="s">
        <v>17</v>
      </c>
      <c r="E21" s="2" t="s">
        <v>18</v>
      </c>
      <c r="F21" s="2">
        <v>16</v>
      </c>
      <c r="G21" s="3">
        <v>38000</v>
      </c>
      <c r="H21" s="3">
        <f t="shared" si="0"/>
        <v>608000</v>
      </c>
      <c r="I21" s="2" t="s">
        <v>19</v>
      </c>
      <c r="J21" s="2" t="s">
        <v>23</v>
      </c>
      <c r="K21" t="str">
        <f t="shared" si="1"/>
        <v>January</v>
      </c>
      <c r="M21" t="b">
        <f t="shared" si="2"/>
        <v>1</v>
      </c>
      <c r="N21" s="12">
        <f t="shared" si="3"/>
        <v>38000</v>
      </c>
      <c r="O21" s="12" t="b">
        <f t="shared" si="4"/>
        <v>1</v>
      </c>
      <c r="P21" t="b">
        <f t="shared" si="5"/>
        <v>1</v>
      </c>
    </row>
    <row r="22" spans="1:16" ht="15" customHeight="1" x14ac:dyDescent="0.3">
      <c r="A22" s="2" t="s">
        <v>156</v>
      </c>
      <c r="B22" s="13">
        <v>45689</v>
      </c>
      <c r="C22" s="8" t="s">
        <v>21</v>
      </c>
      <c r="D22" s="2" t="s">
        <v>17</v>
      </c>
      <c r="E22" s="2" t="s">
        <v>18</v>
      </c>
      <c r="F22" s="2">
        <v>25</v>
      </c>
      <c r="G22" s="3">
        <v>93000</v>
      </c>
      <c r="H22" s="3">
        <f t="shared" si="0"/>
        <v>2325000</v>
      </c>
      <c r="I22" s="2" t="s">
        <v>33</v>
      </c>
      <c r="J22" s="2" t="s">
        <v>14</v>
      </c>
      <c r="K22" t="str">
        <f t="shared" si="1"/>
        <v>February</v>
      </c>
      <c r="M22" t="b">
        <f t="shared" si="2"/>
        <v>1</v>
      </c>
      <c r="N22" s="12">
        <f t="shared" si="3"/>
        <v>93000</v>
      </c>
      <c r="O22" s="12" t="b">
        <f t="shared" si="4"/>
        <v>1</v>
      </c>
      <c r="P22" t="b">
        <f t="shared" si="5"/>
        <v>1</v>
      </c>
    </row>
    <row r="23" spans="1:16" ht="15" customHeight="1" x14ac:dyDescent="0.3">
      <c r="A23" s="2" t="s">
        <v>118</v>
      </c>
      <c r="B23" s="13">
        <v>45690</v>
      </c>
      <c r="C23" s="8" t="s">
        <v>80</v>
      </c>
      <c r="D23" s="2" t="s">
        <v>11</v>
      </c>
      <c r="E23" s="2" t="s">
        <v>75</v>
      </c>
      <c r="F23" s="2">
        <v>18</v>
      </c>
      <c r="G23" s="3">
        <v>93000</v>
      </c>
      <c r="H23" s="3">
        <f t="shared" si="0"/>
        <v>1674000</v>
      </c>
      <c r="I23" s="2" t="s">
        <v>13</v>
      </c>
      <c r="J23" s="2" t="s">
        <v>14</v>
      </c>
      <c r="K23" t="str">
        <f t="shared" si="1"/>
        <v>February</v>
      </c>
      <c r="M23" t="b">
        <f t="shared" si="2"/>
        <v>1</v>
      </c>
      <c r="N23" s="12">
        <f t="shared" si="3"/>
        <v>93000</v>
      </c>
      <c r="O23" s="12" t="b">
        <f t="shared" si="4"/>
        <v>1</v>
      </c>
      <c r="P23" t="b">
        <f t="shared" si="5"/>
        <v>1</v>
      </c>
    </row>
    <row r="24" spans="1:16" ht="15" customHeight="1" x14ac:dyDescent="0.3">
      <c r="A24" s="2" t="s">
        <v>171</v>
      </c>
      <c r="B24" s="13">
        <v>45690</v>
      </c>
      <c r="C24" s="8" t="s">
        <v>51</v>
      </c>
      <c r="D24" s="2" t="s">
        <v>11</v>
      </c>
      <c r="E24" s="2" t="s">
        <v>29</v>
      </c>
      <c r="F24" s="2">
        <v>16</v>
      </c>
      <c r="G24" s="3">
        <v>43000</v>
      </c>
      <c r="H24" s="3">
        <f t="shared" si="0"/>
        <v>688000</v>
      </c>
      <c r="I24" s="2" t="s">
        <v>26</v>
      </c>
      <c r="J24" s="2" t="s">
        <v>23</v>
      </c>
      <c r="K24" t="str">
        <f t="shared" si="1"/>
        <v>February</v>
      </c>
      <c r="M24" t="b">
        <f t="shared" si="2"/>
        <v>1</v>
      </c>
      <c r="N24" s="12">
        <f t="shared" si="3"/>
        <v>43000</v>
      </c>
      <c r="O24" s="12" t="b">
        <f t="shared" si="4"/>
        <v>1</v>
      </c>
      <c r="P24" t="b">
        <f t="shared" si="5"/>
        <v>1</v>
      </c>
    </row>
    <row r="25" spans="1:16" ht="15" customHeight="1" x14ac:dyDescent="0.3">
      <c r="A25" s="2" t="s">
        <v>196</v>
      </c>
      <c r="B25" s="13">
        <v>45690</v>
      </c>
      <c r="C25" s="8" t="s">
        <v>25</v>
      </c>
      <c r="D25" s="2" t="s">
        <v>55</v>
      </c>
      <c r="E25" s="2" t="s">
        <v>56</v>
      </c>
      <c r="F25" s="2">
        <v>4</v>
      </c>
      <c r="G25" s="3">
        <v>19000</v>
      </c>
      <c r="H25" s="3">
        <f t="shared" si="0"/>
        <v>76000</v>
      </c>
      <c r="I25" s="2" t="s">
        <v>13</v>
      </c>
      <c r="J25" s="2" t="s">
        <v>14</v>
      </c>
      <c r="K25" t="str">
        <f t="shared" si="1"/>
        <v>February</v>
      </c>
      <c r="M25" t="b">
        <f t="shared" si="2"/>
        <v>1</v>
      </c>
      <c r="N25" s="12">
        <f t="shared" si="3"/>
        <v>19000</v>
      </c>
      <c r="O25" s="12" t="b">
        <f t="shared" si="4"/>
        <v>1</v>
      </c>
      <c r="P25" t="b">
        <f t="shared" si="5"/>
        <v>1</v>
      </c>
    </row>
    <row r="26" spans="1:16" ht="15" customHeight="1" x14ac:dyDescent="0.3">
      <c r="A26" s="2" t="s">
        <v>93</v>
      </c>
      <c r="B26" s="13">
        <v>45691</v>
      </c>
      <c r="C26" s="8" t="s">
        <v>21</v>
      </c>
      <c r="D26" s="2" t="s">
        <v>48</v>
      </c>
      <c r="E26" s="2" t="s">
        <v>89</v>
      </c>
      <c r="F26" s="2">
        <v>7</v>
      </c>
      <c r="G26" s="3">
        <v>48000</v>
      </c>
      <c r="H26" s="3">
        <f t="shared" si="0"/>
        <v>336000</v>
      </c>
      <c r="I26" s="2" t="s">
        <v>19</v>
      </c>
      <c r="J26" s="2" t="s">
        <v>14</v>
      </c>
      <c r="K26" t="str">
        <f t="shared" si="1"/>
        <v>February</v>
      </c>
      <c r="M26" t="b">
        <f t="shared" si="2"/>
        <v>1</v>
      </c>
      <c r="N26" s="12">
        <f t="shared" si="3"/>
        <v>48000</v>
      </c>
      <c r="O26" s="12" t="b">
        <f t="shared" si="4"/>
        <v>1</v>
      </c>
      <c r="P26" t="b">
        <f t="shared" si="5"/>
        <v>1</v>
      </c>
    </row>
    <row r="27" spans="1:16" ht="15" customHeight="1" x14ac:dyDescent="0.3">
      <c r="A27" s="2" t="s">
        <v>265</v>
      </c>
      <c r="B27" s="13">
        <v>45691</v>
      </c>
      <c r="C27" s="8" t="s">
        <v>35</v>
      </c>
      <c r="D27" s="2" t="s">
        <v>17</v>
      </c>
      <c r="E27" s="2" t="s">
        <v>53</v>
      </c>
      <c r="F27" s="2">
        <v>19</v>
      </c>
      <c r="G27" s="3">
        <v>39000</v>
      </c>
      <c r="H27" s="3">
        <f t="shared" si="0"/>
        <v>741000</v>
      </c>
      <c r="I27" s="2" t="s">
        <v>37</v>
      </c>
      <c r="J27" s="2" t="s">
        <v>59</v>
      </c>
      <c r="K27" t="str">
        <f t="shared" si="1"/>
        <v>February</v>
      </c>
      <c r="M27" t="b">
        <f t="shared" si="2"/>
        <v>1</v>
      </c>
      <c r="N27" s="12">
        <f t="shared" si="3"/>
        <v>39000</v>
      </c>
      <c r="O27" s="12" t="b">
        <f t="shared" si="4"/>
        <v>1</v>
      </c>
      <c r="P27" t="b">
        <f t="shared" si="5"/>
        <v>1</v>
      </c>
    </row>
    <row r="28" spans="1:16" ht="15" customHeight="1" x14ac:dyDescent="0.3">
      <c r="A28" s="2" t="s">
        <v>99</v>
      </c>
      <c r="B28" s="13">
        <v>45693</v>
      </c>
      <c r="C28" s="8" t="s">
        <v>64</v>
      </c>
      <c r="D28" s="2" t="s">
        <v>11</v>
      </c>
      <c r="E28" s="2" t="s">
        <v>61</v>
      </c>
      <c r="F28" s="2">
        <v>7</v>
      </c>
      <c r="G28" s="3">
        <v>249000</v>
      </c>
      <c r="H28" s="3">
        <f t="shared" si="0"/>
        <v>1743000</v>
      </c>
      <c r="I28" s="2" t="s">
        <v>26</v>
      </c>
      <c r="J28" s="2" t="s">
        <v>14</v>
      </c>
      <c r="K28" t="str">
        <f t="shared" si="1"/>
        <v>February</v>
      </c>
      <c r="M28" t="b">
        <f t="shared" si="2"/>
        <v>1</v>
      </c>
      <c r="N28" s="12">
        <f t="shared" si="3"/>
        <v>249000</v>
      </c>
      <c r="O28" s="12" t="b">
        <f t="shared" si="4"/>
        <v>1</v>
      </c>
      <c r="P28" t="b">
        <f t="shared" si="5"/>
        <v>1</v>
      </c>
    </row>
    <row r="29" spans="1:16" ht="15" customHeight="1" x14ac:dyDescent="0.3">
      <c r="A29" s="2" t="s">
        <v>63</v>
      </c>
      <c r="B29" s="13">
        <v>45694</v>
      </c>
      <c r="C29" s="8" t="s">
        <v>64</v>
      </c>
      <c r="D29" s="2" t="s">
        <v>31</v>
      </c>
      <c r="E29" s="2" t="s">
        <v>32</v>
      </c>
      <c r="F29" s="2">
        <v>20</v>
      </c>
      <c r="G29" s="3">
        <v>118000</v>
      </c>
      <c r="H29" s="3">
        <f t="shared" si="0"/>
        <v>2360000</v>
      </c>
      <c r="I29" s="2" t="s">
        <v>19</v>
      </c>
      <c r="J29" s="2" t="s">
        <v>23</v>
      </c>
      <c r="K29" t="str">
        <f t="shared" si="1"/>
        <v>February</v>
      </c>
      <c r="M29" t="b">
        <f t="shared" si="2"/>
        <v>1</v>
      </c>
      <c r="N29" s="12">
        <f t="shared" si="3"/>
        <v>118000</v>
      </c>
      <c r="O29" s="12" t="b">
        <f t="shared" si="4"/>
        <v>1</v>
      </c>
      <c r="P29" t="b">
        <f t="shared" si="5"/>
        <v>1</v>
      </c>
    </row>
    <row r="30" spans="1:16" ht="15" customHeight="1" x14ac:dyDescent="0.3">
      <c r="A30" s="2" t="s">
        <v>172</v>
      </c>
      <c r="B30" s="13">
        <v>45695</v>
      </c>
      <c r="C30" s="8" t="s">
        <v>64</v>
      </c>
      <c r="D30" s="2" t="s">
        <v>17</v>
      </c>
      <c r="E30" s="2" t="s">
        <v>53</v>
      </c>
      <c r="F30" s="2">
        <v>3</v>
      </c>
      <c r="G30" s="3">
        <v>53000</v>
      </c>
      <c r="H30" s="3">
        <f t="shared" si="0"/>
        <v>159000</v>
      </c>
      <c r="I30" s="2" t="s">
        <v>19</v>
      </c>
      <c r="J30" s="2" t="s">
        <v>23</v>
      </c>
      <c r="K30" t="str">
        <f t="shared" si="1"/>
        <v>February</v>
      </c>
      <c r="M30" t="b">
        <f t="shared" si="2"/>
        <v>1</v>
      </c>
      <c r="N30" s="12">
        <f t="shared" si="3"/>
        <v>53000</v>
      </c>
      <c r="O30" s="12" t="b">
        <f t="shared" si="4"/>
        <v>1</v>
      </c>
      <c r="P30" t="b">
        <f t="shared" si="5"/>
        <v>1</v>
      </c>
    </row>
    <row r="31" spans="1:16" ht="15" customHeight="1" x14ac:dyDescent="0.3">
      <c r="A31" s="2" t="s">
        <v>170</v>
      </c>
      <c r="B31" s="13">
        <v>45697</v>
      </c>
      <c r="C31" s="8" t="s">
        <v>28</v>
      </c>
      <c r="D31" s="2" t="s">
        <v>48</v>
      </c>
      <c r="E31" s="2" t="s">
        <v>77</v>
      </c>
      <c r="F31" s="2">
        <v>15</v>
      </c>
      <c r="G31" s="3">
        <v>113000</v>
      </c>
      <c r="H31" s="3">
        <f t="shared" si="0"/>
        <v>1695000</v>
      </c>
      <c r="I31" s="2" t="s">
        <v>26</v>
      </c>
      <c r="J31" s="2" t="s">
        <v>14</v>
      </c>
      <c r="K31" t="str">
        <f t="shared" si="1"/>
        <v>February</v>
      </c>
      <c r="M31" t="b">
        <f t="shared" si="2"/>
        <v>1</v>
      </c>
      <c r="N31" s="12">
        <f t="shared" si="3"/>
        <v>113000</v>
      </c>
      <c r="O31" s="12" t="b">
        <f t="shared" si="4"/>
        <v>1</v>
      </c>
      <c r="P31" t="b">
        <f t="shared" si="5"/>
        <v>1</v>
      </c>
    </row>
    <row r="32" spans="1:16" ht="15" customHeight="1" x14ac:dyDescent="0.3">
      <c r="A32" s="2" t="s">
        <v>131</v>
      </c>
      <c r="B32" s="13">
        <v>45698</v>
      </c>
      <c r="C32" s="9" t="s">
        <v>277</v>
      </c>
      <c r="D32" s="2" t="s">
        <v>55</v>
      </c>
      <c r="E32" s="2" t="s">
        <v>117</v>
      </c>
      <c r="F32" s="2">
        <v>5</v>
      </c>
      <c r="G32" s="3">
        <v>69000</v>
      </c>
      <c r="H32" s="3">
        <f t="shared" si="0"/>
        <v>345000</v>
      </c>
      <c r="I32" s="2" t="s">
        <v>19</v>
      </c>
      <c r="J32" s="2" t="s">
        <v>14</v>
      </c>
      <c r="K32" t="str">
        <f t="shared" si="1"/>
        <v>February</v>
      </c>
      <c r="M32" t="b">
        <f t="shared" si="2"/>
        <v>1</v>
      </c>
      <c r="N32" s="12">
        <f t="shared" si="3"/>
        <v>69000</v>
      </c>
      <c r="O32" s="12" t="b">
        <f t="shared" si="4"/>
        <v>1</v>
      </c>
      <c r="P32" t="b">
        <f t="shared" si="5"/>
        <v>1</v>
      </c>
    </row>
    <row r="33" spans="1:16" ht="15" customHeight="1" x14ac:dyDescent="0.3">
      <c r="A33" s="2" t="s">
        <v>257</v>
      </c>
      <c r="B33" s="13">
        <v>45699</v>
      </c>
      <c r="C33" s="8" t="s">
        <v>16</v>
      </c>
      <c r="D33" s="2" t="s">
        <v>17</v>
      </c>
      <c r="E33" s="2" t="s">
        <v>18</v>
      </c>
      <c r="F33" s="2">
        <v>16</v>
      </c>
      <c r="G33" s="3">
        <v>54000</v>
      </c>
      <c r="H33" s="3">
        <f t="shared" si="0"/>
        <v>864000</v>
      </c>
      <c r="I33" s="2" t="s">
        <v>37</v>
      </c>
      <c r="J33" s="2" t="s">
        <v>14</v>
      </c>
      <c r="K33" t="str">
        <f t="shared" si="1"/>
        <v>February</v>
      </c>
      <c r="M33" t="b">
        <f t="shared" si="2"/>
        <v>1</v>
      </c>
      <c r="N33" s="12">
        <f t="shared" si="3"/>
        <v>54000</v>
      </c>
      <c r="O33" s="12" t="b">
        <f t="shared" si="4"/>
        <v>1</v>
      </c>
      <c r="P33" t="b">
        <f t="shared" si="5"/>
        <v>1</v>
      </c>
    </row>
    <row r="34" spans="1:16" ht="15" customHeight="1" x14ac:dyDescent="0.3">
      <c r="A34" s="2" t="s">
        <v>192</v>
      </c>
      <c r="B34" s="13">
        <v>45699</v>
      </c>
      <c r="C34" s="8" t="s">
        <v>51</v>
      </c>
      <c r="D34" s="2" t="s">
        <v>17</v>
      </c>
      <c r="E34" s="2" t="s">
        <v>46</v>
      </c>
      <c r="F34" s="2">
        <v>3</v>
      </c>
      <c r="G34" s="3">
        <v>90000</v>
      </c>
      <c r="H34" s="3">
        <f t="shared" si="0"/>
        <v>270000</v>
      </c>
      <c r="I34" s="2" t="s">
        <v>37</v>
      </c>
      <c r="J34" s="2" t="s">
        <v>14</v>
      </c>
      <c r="K34" t="str">
        <f t="shared" si="1"/>
        <v>February</v>
      </c>
      <c r="M34" t="b">
        <f t="shared" si="2"/>
        <v>1</v>
      </c>
      <c r="N34" s="12">
        <f t="shared" si="3"/>
        <v>90000</v>
      </c>
      <c r="O34" s="12" t="b">
        <f t="shared" si="4"/>
        <v>1</v>
      </c>
      <c r="P34" t="b">
        <f t="shared" si="5"/>
        <v>1</v>
      </c>
    </row>
    <row r="35" spans="1:16" ht="15" customHeight="1" x14ac:dyDescent="0.3">
      <c r="A35" s="2" t="s">
        <v>208</v>
      </c>
      <c r="B35" s="13">
        <v>45701</v>
      </c>
      <c r="C35" s="8" t="s">
        <v>21</v>
      </c>
      <c r="D35" s="2" t="s">
        <v>11</v>
      </c>
      <c r="E35" s="2" t="s">
        <v>75</v>
      </c>
      <c r="F35" s="2">
        <v>25</v>
      </c>
      <c r="G35" s="3">
        <v>141000</v>
      </c>
      <c r="H35" s="3">
        <f t="shared" si="0"/>
        <v>3525000</v>
      </c>
      <c r="I35" s="2" t="s">
        <v>33</v>
      </c>
      <c r="J35" s="2" t="s">
        <v>59</v>
      </c>
      <c r="K35" t="str">
        <f t="shared" si="1"/>
        <v>February</v>
      </c>
      <c r="M35" t="b">
        <f t="shared" si="2"/>
        <v>1</v>
      </c>
      <c r="N35" s="12">
        <f t="shared" si="3"/>
        <v>141000</v>
      </c>
      <c r="O35" s="12" t="b">
        <f t="shared" si="4"/>
        <v>1</v>
      </c>
      <c r="P35" t="b">
        <f t="shared" si="5"/>
        <v>1</v>
      </c>
    </row>
    <row r="36" spans="1:16" ht="15" customHeight="1" x14ac:dyDescent="0.3">
      <c r="A36" s="2" t="s">
        <v>234</v>
      </c>
      <c r="B36" s="13">
        <v>45703</v>
      </c>
      <c r="C36" s="8" t="s">
        <v>80</v>
      </c>
      <c r="D36" s="2" t="s">
        <v>55</v>
      </c>
      <c r="E36" s="2" t="s">
        <v>97</v>
      </c>
      <c r="F36" s="2">
        <v>4</v>
      </c>
      <c r="G36" s="3">
        <v>80000</v>
      </c>
      <c r="H36" s="3">
        <f t="shared" si="0"/>
        <v>320000</v>
      </c>
      <c r="I36" s="2" t="s">
        <v>37</v>
      </c>
      <c r="J36" s="2" t="s">
        <v>14</v>
      </c>
      <c r="K36" t="str">
        <f t="shared" si="1"/>
        <v>February</v>
      </c>
      <c r="M36" t="b">
        <f t="shared" si="2"/>
        <v>1</v>
      </c>
      <c r="N36" s="12">
        <f t="shared" si="3"/>
        <v>80000</v>
      </c>
      <c r="O36" s="12" t="b">
        <f t="shared" si="4"/>
        <v>1</v>
      </c>
      <c r="P36" t="b">
        <f t="shared" si="5"/>
        <v>1</v>
      </c>
    </row>
    <row r="37" spans="1:16" ht="15" customHeight="1" x14ac:dyDescent="0.3">
      <c r="A37" s="2" t="s">
        <v>72</v>
      </c>
      <c r="B37" s="13">
        <v>45703</v>
      </c>
      <c r="C37" s="8" t="s">
        <v>45</v>
      </c>
      <c r="D37" s="2" t="s">
        <v>31</v>
      </c>
      <c r="E37" s="2" t="s">
        <v>70</v>
      </c>
      <c r="F37" s="2">
        <v>24</v>
      </c>
      <c r="G37" s="3">
        <v>54000</v>
      </c>
      <c r="H37" s="3">
        <f t="shared" si="0"/>
        <v>1296000</v>
      </c>
      <c r="I37" s="2" t="s">
        <v>26</v>
      </c>
      <c r="J37" s="2" t="s">
        <v>59</v>
      </c>
      <c r="K37" t="str">
        <f t="shared" si="1"/>
        <v>February</v>
      </c>
      <c r="M37" t="b">
        <f t="shared" si="2"/>
        <v>1</v>
      </c>
      <c r="N37" s="12">
        <f t="shared" si="3"/>
        <v>54000</v>
      </c>
      <c r="O37" s="12" t="b">
        <f t="shared" si="4"/>
        <v>1</v>
      </c>
      <c r="P37" t="b">
        <f t="shared" si="5"/>
        <v>1</v>
      </c>
    </row>
    <row r="38" spans="1:16" ht="15" customHeight="1" x14ac:dyDescent="0.3">
      <c r="A38" s="2" t="s">
        <v>263</v>
      </c>
      <c r="B38" s="13">
        <v>45708</v>
      </c>
      <c r="C38" s="8" t="s">
        <v>80</v>
      </c>
      <c r="D38" s="2" t="s">
        <v>48</v>
      </c>
      <c r="E38" s="2" t="s">
        <v>89</v>
      </c>
      <c r="F38" s="2">
        <v>2</v>
      </c>
      <c r="G38" s="3">
        <v>138000</v>
      </c>
      <c r="H38" s="3">
        <f t="shared" si="0"/>
        <v>276000</v>
      </c>
      <c r="I38" s="2" t="s">
        <v>33</v>
      </c>
      <c r="J38" s="2" t="s">
        <v>14</v>
      </c>
      <c r="K38" t="str">
        <f t="shared" si="1"/>
        <v>February</v>
      </c>
      <c r="M38" t="b">
        <f t="shared" si="2"/>
        <v>1</v>
      </c>
      <c r="N38" s="12">
        <f t="shared" si="3"/>
        <v>138000</v>
      </c>
      <c r="O38" s="12" t="b">
        <f t="shared" si="4"/>
        <v>1</v>
      </c>
      <c r="P38" t="b">
        <f t="shared" si="5"/>
        <v>1</v>
      </c>
    </row>
    <row r="39" spans="1:16" ht="15" customHeight="1" x14ac:dyDescent="0.3">
      <c r="A39" s="2" t="s">
        <v>188</v>
      </c>
      <c r="B39" s="13">
        <v>45713</v>
      </c>
      <c r="C39" s="8" t="s">
        <v>45</v>
      </c>
      <c r="D39" s="2" t="s">
        <v>11</v>
      </c>
      <c r="E39" s="2" t="s">
        <v>127</v>
      </c>
      <c r="F39" s="2">
        <v>19</v>
      </c>
      <c r="G39" s="3">
        <v>208000</v>
      </c>
      <c r="H39" s="3">
        <f t="shared" si="0"/>
        <v>3952000</v>
      </c>
      <c r="I39" s="4" t="s">
        <v>277</v>
      </c>
      <c r="J39" s="2" t="s">
        <v>23</v>
      </c>
      <c r="K39" t="str">
        <f t="shared" si="1"/>
        <v>February</v>
      </c>
      <c r="M39" t="b">
        <f t="shared" si="2"/>
        <v>1</v>
      </c>
      <c r="N39" s="12">
        <f t="shared" si="3"/>
        <v>208000</v>
      </c>
      <c r="O39" s="12" t="b">
        <f t="shared" si="4"/>
        <v>1</v>
      </c>
      <c r="P39" t="b">
        <f t="shared" si="5"/>
        <v>1</v>
      </c>
    </row>
    <row r="40" spans="1:16" ht="15" customHeight="1" x14ac:dyDescent="0.3">
      <c r="A40" s="2" t="s">
        <v>219</v>
      </c>
      <c r="B40" s="13">
        <v>45715</v>
      </c>
      <c r="C40" s="8" t="s">
        <v>64</v>
      </c>
      <c r="D40" s="2" t="s">
        <v>17</v>
      </c>
      <c r="E40" s="2" t="s">
        <v>53</v>
      </c>
      <c r="F40" s="2">
        <v>8</v>
      </c>
      <c r="G40" s="3">
        <v>24000</v>
      </c>
      <c r="H40" s="3">
        <f t="shared" si="0"/>
        <v>192000</v>
      </c>
      <c r="I40" s="2" t="s">
        <v>37</v>
      </c>
      <c r="J40" s="2" t="s">
        <v>23</v>
      </c>
      <c r="K40" t="str">
        <f t="shared" si="1"/>
        <v>February</v>
      </c>
      <c r="M40" t="b">
        <f t="shared" si="2"/>
        <v>1</v>
      </c>
      <c r="N40" s="12">
        <f t="shared" si="3"/>
        <v>24000</v>
      </c>
      <c r="O40" s="12" t="b">
        <f t="shared" si="4"/>
        <v>1</v>
      </c>
      <c r="P40" t="b">
        <f t="shared" si="5"/>
        <v>1</v>
      </c>
    </row>
    <row r="41" spans="1:16" ht="15" customHeight="1" x14ac:dyDescent="0.3">
      <c r="A41" s="2" t="s">
        <v>124</v>
      </c>
      <c r="B41" s="13">
        <v>45716</v>
      </c>
      <c r="C41" s="8" t="s">
        <v>45</v>
      </c>
      <c r="D41" s="2" t="s">
        <v>31</v>
      </c>
      <c r="E41" s="2" t="s">
        <v>121</v>
      </c>
      <c r="F41" s="2">
        <v>23</v>
      </c>
      <c r="G41" s="3">
        <v>139000</v>
      </c>
      <c r="H41" s="3">
        <f t="shared" si="0"/>
        <v>3197000</v>
      </c>
      <c r="I41" s="2" t="s">
        <v>26</v>
      </c>
      <c r="J41" s="2" t="s">
        <v>59</v>
      </c>
      <c r="K41" t="str">
        <f t="shared" si="1"/>
        <v>February</v>
      </c>
      <c r="M41" t="b">
        <f t="shared" si="2"/>
        <v>1</v>
      </c>
      <c r="N41" s="12">
        <f t="shared" si="3"/>
        <v>139000</v>
      </c>
      <c r="O41" s="12" t="b">
        <f t="shared" si="4"/>
        <v>1</v>
      </c>
      <c r="P41" t="b">
        <f t="shared" si="5"/>
        <v>1</v>
      </c>
    </row>
    <row r="42" spans="1:16" ht="15" customHeight="1" x14ac:dyDescent="0.3">
      <c r="A42" s="2" t="s">
        <v>259</v>
      </c>
      <c r="B42" s="13">
        <v>45719</v>
      </c>
      <c r="C42" s="8" t="s">
        <v>21</v>
      </c>
      <c r="D42" s="2" t="s">
        <v>55</v>
      </c>
      <c r="E42" s="2" t="s">
        <v>58</v>
      </c>
      <c r="F42" s="2">
        <v>24</v>
      </c>
      <c r="G42" s="3">
        <v>39000</v>
      </c>
      <c r="H42" s="3">
        <f t="shared" si="0"/>
        <v>936000</v>
      </c>
      <c r="I42" s="2" t="s">
        <v>33</v>
      </c>
      <c r="J42" s="2" t="s">
        <v>14</v>
      </c>
      <c r="K42" t="str">
        <f t="shared" si="1"/>
        <v>March</v>
      </c>
      <c r="M42" t="b">
        <f t="shared" si="2"/>
        <v>1</v>
      </c>
      <c r="N42" s="12">
        <f t="shared" si="3"/>
        <v>39000</v>
      </c>
      <c r="O42" s="12" t="b">
        <f t="shared" si="4"/>
        <v>1</v>
      </c>
      <c r="P42" t="b">
        <f t="shared" si="5"/>
        <v>1</v>
      </c>
    </row>
    <row r="43" spans="1:16" ht="15" customHeight="1" x14ac:dyDescent="0.3">
      <c r="A43" s="2" t="s">
        <v>120</v>
      </c>
      <c r="B43" s="13">
        <v>45720</v>
      </c>
      <c r="C43" s="8" t="s">
        <v>64</v>
      </c>
      <c r="D43" s="2" t="s">
        <v>31</v>
      </c>
      <c r="E43" s="2" t="s">
        <v>121</v>
      </c>
      <c r="F43" s="2">
        <v>21</v>
      </c>
      <c r="G43" s="3">
        <v>162000</v>
      </c>
      <c r="H43" s="3">
        <f t="shared" si="0"/>
        <v>3402000</v>
      </c>
      <c r="I43" s="2" t="s">
        <v>33</v>
      </c>
      <c r="J43" s="2" t="s">
        <v>14</v>
      </c>
      <c r="K43" t="str">
        <f t="shared" si="1"/>
        <v>March</v>
      </c>
      <c r="M43" t="b">
        <f t="shared" si="2"/>
        <v>1</v>
      </c>
      <c r="N43" s="12">
        <f t="shared" si="3"/>
        <v>162000</v>
      </c>
      <c r="O43" s="12" t="b">
        <f t="shared" si="4"/>
        <v>1</v>
      </c>
      <c r="P43" t="b">
        <f t="shared" si="5"/>
        <v>1</v>
      </c>
    </row>
    <row r="44" spans="1:16" ht="15" customHeight="1" x14ac:dyDescent="0.3">
      <c r="A44" s="2" t="s">
        <v>186</v>
      </c>
      <c r="B44" s="13">
        <v>45720</v>
      </c>
      <c r="C44" s="8" t="s">
        <v>25</v>
      </c>
      <c r="D44" s="2" t="s">
        <v>31</v>
      </c>
      <c r="E44" s="2" t="s">
        <v>121</v>
      </c>
      <c r="F44" s="2">
        <v>22</v>
      </c>
      <c r="G44" s="3">
        <v>126000</v>
      </c>
      <c r="H44" s="3">
        <f t="shared" si="0"/>
        <v>2772000</v>
      </c>
      <c r="I44" s="2" t="s">
        <v>37</v>
      </c>
      <c r="J44" s="2" t="s">
        <v>14</v>
      </c>
      <c r="K44" t="str">
        <f t="shared" si="1"/>
        <v>March</v>
      </c>
      <c r="M44" t="b">
        <f t="shared" si="2"/>
        <v>1</v>
      </c>
      <c r="N44" s="12">
        <f t="shared" si="3"/>
        <v>126000</v>
      </c>
      <c r="O44" s="12" t="b">
        <f t="shared" si="4"/>
        <v>1</v>
      </c>
      <c r="P44" t="b">
        <f t="shared" si="5"/>
        <v>1</v>
      </c>
    </row>
    <row r="45" spans="1:16" ht="15" customHeight="1" x14ac:dyDescent="0.3">
      <c r="A45" s="2" t="s">
        <v>262</v>
      </c>
      <c r="B45" s="13">
        <v>45721</v>
      </c>
      <c r="C45" s="8" t="s">
        <v>16</v>
      </c>
      <c r="D45" s="2" t="s">
        <v>48</v>
      </c>
      <c r="E45" s="2" t="s">
        <v>89</v>
      </c>
      <c r="F45" s="2">
        <v>22</v>
      </c>
      <c r="G45" s="3">
        <v>100000</v>
      </c>
      <c r="H45" s="3">
        <f t="shared" si="0"/>
        <v>2200000</v>
      </c>
      <c r="I45" s="2" t="s">
        <v>26</v>
      </c>
      <c r="J45" s="2" t="s">
        <v>14</v>
      </c>
      <c r="K45" t="str">
        <f t="shared" si="1"/>
        <v>March</v>
      </c>
      <c r="M45" t="b">
        <f t="shared" si="2"/>
        <v>1</v>
      </c>
      <c r="N45" s="12">
        <f t="shared" si="3"/>
        <v>100000</v>
      </c>
      <c r="O45" s="12" t="b">
        <f t="shared" si="4"/>
        <v>1</v>
      </c>
      <c r="P45" t="b">
        <f t="shared" si="5"/>
        <v>1</v>
      </c>
    </row>
    <row r="46" spans="1:16" ht="15" customHeight="1" x14ac:dyDescent="0.3">
      <c r="A46" s="2" t="s">
        <v>244</v>
      </c>
      <c r="B46" s="13">
        <v>45728</v>
      </c>
      <c r="C46" s="8" t="s">
        <v>64</v>
      </c>
      <c r="D46" s="2" t="s">
        <v>55</v>
      </c>
      <c r="E46" s="2" t="s">
        <v>56</v>
      </c>
      <c r="F46" s="2">
        <v>23</v>
      </c>
      <c r="G46" s="3">
        <v>112000</v>
      </c>
      <c r="H46" s="3">
        <f t="shared" si="0"/>
        <v>2576000</v>
      </c>
      <c r="I46" s="2" t="s">
        <v>37</v>
      </c>
      <c r="J46" s="2" t="s">
        <v>14</v>
      </c>
      <c r="K46" t="str">
        <f t="shared" si="1"/>
        <v>March</v>
      </c>
      <c r="M46" t="b">
        <f t="shared" si="2"/>
        <v>1</v>
      </c>
      <c r="N46" s="12">
        <f t="shared" si="3"/>
        <v>112000</v>
      </c>
      <c r="O46" s="12" t="b">
        <f t="shared" si="4"/>
        <v>1</v>
      </c>
      <c r="P46" t="b">
        <f t="shared" si="5"/>
        <v>1</v>
      </c>
    </row>
    <row r="47" spans="1:16" ht="15" customHeight="1" x14ac:dyDescent="0.3">
      <c r="A47" s="2" t="s">
        <v>30</v>
      </c>
      <c r="B47" s="13">
        <v>45733</v>
      </c>
      <c r="C47" s="8" t="s">
        <v>28</v>
      </c>
      <c r="D47" s="2" t="s">
        <v>31</v>
      </c>
      <c r="E47" s="2" t="s">
        <v>32</v>
      </c>
      <c r="F47" s="2">
        <v>20</v>
      </c>
      <c r="G47" s="3">
        <v>128000</v>
      </c>
      <c r="H47" s="3">
        <f t="shared" si="0"/>
        <v>2560000</v>
      </c>
      <c r="I47" s="2" t="s">
        <v>33</v>
      </c>
      <c r="J47" s="2" t="s">
        <v>14</v>
      </c>
      <c r="K47" t="str">
        <f t="shared" si="1"/>
        <v>March</v>
      </c>
      <c r="M47" t="b">
        <f t="shared" si="2"/>
        <v>1</v>
      </c>
      <c r="N47" s="12">
        <f t="shared" si="3"/>
        <v>128000</v>
      </c>
      <c r="O47" s="12" t="b">
        <f t="shared" si="4"/>
        <v>1</v>
      </c>
      <c r="P47" t="b">
        <f t="shared" si="5"/>
        <v>1</v>
      </c>
    </row>
    <row r="48" spans="1:16" ht="15" customHeight="1" x14ac:dyDescent="0.3">
      <c r="A48" s="2" t="s">
        <v>129</v>
      </c>
      <c r="B48" s="13">
        <v>45735</v>
      </c>
      <c r="C48" s="8" t="s">
        <v>21</v>
      </c>
      <c r="D48" s="2" t="s">
        <v>17</v>
      </c>
      <c r="E48" s="2" t="s">
        <v>22</v>
      </c>
      <c r="F48" s="2">
        <v>23</v>
      </c>
      <c r="G48" s="3">
        <v>72000</v>
      </c>
      <c r="H48" s="3">
        <f t="shared" si="0"/>
        <v>1656000</v>
      </c>
      <c r="I48" s="2" t="s">
        <v>37</v>
      </c>
      <c r="J48" s="2" t="s">
        <v>14</v>
      </c>
      <c r="K48" t="str">
        <f t="shared" si="1"/>
        <v>March</v>
      </c>
      <c r="M48" t="b">
        <f t="shared" si="2"/>
        <v>1</v>
      </c>
      <c r="N48" s="12">
        <f t="shared" si="3"/>
        <v>72000</v>
      </c>
      <c r="O48" s="12" t="b">
        <f t="shared" si="4"/>
        <v>1</v>
      </c>
      <c r="P48" t="b">
        <f t="shared" si="5"/>
        <v>1</v>
      </c>
    </row>
    <row r="49" spans="1:16" ht="15" customHeight="1" x14ac:dyDescent="0.3">
      <c r="A49" s="2" t="s">
        <v>103</v>
      </c>
      <c r="B49" s="13">
        <v>45736</v>
      </c>
      <c r="C49" s="8" t="s">
        <v>80</v>
      </c>
      <c r="D49" s="2" t="s">
        <v>31</v>
      </c>
      <c r="E49" s="2" t="s">
        <v>70</v>
      </c>
      <c r="F49" s="2">
        <v>25</v>
      </c>
      <c r="G49" s="3">
        <v>45000</v>
      </c>
      <c r="H49" s="3">
        <f t="shared" si="0"/>
        <v>1125000</v>
      </c>
      <c r="I49" s="2" t="s">
        <v>13</v>
      </c>
      <c r="J49" s="2" t="s">
        <v>14</v>
      </c>
      <c r="K49" t="str">
        <f t="shared" si="1"/>
        <v>March</v>
      </c>
      <c r="M49" t="b">
        <f t="shared" si="2"/>
        <v>1</v>
      </c>
      <c r="N49" s="12">
        <f t="shared" si="3"/>
        <v>45000</v>
      </c>
      <c r="O49" s="12" t="b">
        <f t="shared" si="4"/>
        <v>1</v>
      </c>
      <c r="P49" t="b">
        <f t="shared" si="5"/>
        <v>1</v>
      </c>
    </row>
    <row r="50" spans="1:16" ht="15" customHeight="1" x14ac:dyDescent="0.3">
      <c r="A50" s="2" t="s">
        <v>125</v>
      </c>
      <c r="B50" s="13">
        <v>45737</v>
      </c>
      <c r="C50" s="8" t="s">
        <v>21</v>
      </c>
      <c r="D50" s="2" t="s">
        <v>31</v>
      </c>
      <c r="E50" s="2" t="s">
        <v>36</v>
      </c>
      <c r="F50" s="2">
        <v>14</v>
      </c>
      <c r="G50" s="3">
        <v>90000</v>
      </c>
      <c r="H50" s="3">
        <f t="shared" si="0"/>
        <v>1260000</v>
      </c>
      <c r="I50" s="2" t="s">
        <v>33</v>
      </c>
      <c r="J50" s="2" t="s">
        <v>23</v>
      </c>
      <c r="K50" t="str">
        <f t="shared" si="1"/>
        <v>March</v>
      </c>
      <c r="M50" t="b">
        <f t="shared" si="2"/>
        <v>1</v>
      </c>
      <c r="N50" s="12">
        <f t="shared" si="3"/>
        <v>90000</v>
      </c>
      <c r="O50" s="12" t="b">
        <f t="shared" si="4"/>
        <v>1</v>
      </c>
      <c r="P50" t="b">
        <f t="shared" si="5"/>
        <v>1</v>
      </c>
    </row>
    <row r="51" spans="1:16" ht="15" customHeight="1" x14ac:dyDescent="0.3">
      <c r="A51" s="2" t="s">
        <v>38</v>
      </c>
      <c r="B51" s="13">
        <v>45742</v>
      </c>
      <c r="C51" s="8" t="s">
        <v>35</v>
      </c>
      <c r="D51" s="2" t="s">
        <v>11</v>
      </c>
      <c r="E51" s="2" t="s">
        <v>39</v>
      </c>
      <c r="F51" s="2">
        <v>9</v>
      </c>
      <c r="G51" s="3">
        <v>235000</v>
      </c>
      <c r="H51" s="3">
        <f t="shared" si="0"/>
        <v>2115000</v>
      </c>
      <c r="I51" s="2" t="s">
        <v>37</v>
      </c>
      <c r="J51" s="2" t="s">
        <v>23</v>
      </c>
      <c r="K51" t="str">
        <f t="shared" si="1"/>
        <v>March</v>
      </c>
      <c r="M51" t="b">
        <f t="shared" si="2"/>
        <v>1</v>
      </c>
      <c r="N51" s="12">
        <f t="shared" si="3"/>
        <v>235000</v>
      </c>
      <c r="O51" s="12" t="b">
        <f t="shared" si="4"/>
        <v>1</v>
      </c>
      <c r="P51" t="b">
        <f t="shared" si="5"/>
        <v>1</v>
      </c>
    </row>
    <row r="52" spans="1:16" ht="15" customHeight="1" x14ac:dyDescent="0.3">
      <c r="A52" s="2" t="s">
        <v>206</v>
      </c>
      <c r="B52" s="13">
        <v>45747</v>
      </c>
      <c r="C52" s="8" t="s">
        <v>42</v>
      </c>
      <c r="D52" s="2" t="s">
        <v>17</v>
      </c>
      <c r="E52" s="2" t="s">
        <v>22</v>
      </c>
      <c r="F52" s="2">
        <v>17</v>
      </c>
      <c r="G52" s="3">
        <v>70000</v>
      </c>
      <c r="H52" s="3">
        <f t="shared" si="0"/>
        <v>1190000</v>
      </c>
      <c r="I52" s="2" t="s">
        <v>13</v>
      </c>
      <c r="J52" s="2" t="s">
        <v>14</v>
      </c>
      <c r="K52" t="str">
        <f t="shared" si="1"/>
        <v>March</v>
      </c>
      <c r="M52" t="b">
        <f t="shared" si="2"/>
        <v>1</v>
      </c>
      <c r="N52" s="12">
        <f t="shared" si="3"/>
        <v>70000</v>
      </c>
      <c r="O52" s="12" t="b">
        <f t="shared" si="4"/>
        <v>1</v>
      </c>
      <c r="P52" t="b">
        <f t="shared" si="5"/>
        <v>1</v>
      </c>
    </row>
    <row r="53" spans="1:16" ht="15" customHeight="1" x14ac:dyDescent="0.3">
      <c r="A53" s="2" t="s">
        <v>96</v>
      </c>
      <c r="B53" s="13">
        <v>45750</v>
      </c>
      <c r="C53" s="8" t="s">
        <v>51</v>
      </c>
      <c r="D53" s="2" t="s">
        <v>55</v>
      </c>
      <c r="E53" s="2" t="s">
        <v>97</v>
      </c>
      <c r="F53" s="2">
        <v>4</v>
      </c>
      <c r="G53" s="3">
        <v>99000</v>
      </c>
      <c r="H53" s="3">
        <f t="shared" si="0"/>
        <v>396000</v>
      </c>
      <c r="I53" s="2" t="s">
        <v>33</v>
      </c>
      <c r="J53" s="2" t="s">
        <v>23</v>
      </c>
      <c r="K53" t="str">
        <f t="shared" si="1"/>
        <v>April</v>
      </c>
      <c r="M53" t="b">
        <f t="shared" si="2"/>
        <v>1</v>
      </c>
      <c r="N53" s="12">
        <f t="shared" si="3"/>
        <v>99000</v>
      </c>
      <c r="O53" s="12" t="b">
        <f t="shared" si="4"/>
        <v>1</v>
      </c>
      <c r="P53" t="b">
        <f t="shared" si="5"/>
        <v>1</v>
      </c>
    </row>
    <row r="54" spans="1:16" ht="15" customHeight="1" x14ac:dyDescent="0.3">
      <c r="A54" s="2" t="s">
        <v>157</v>
      </c>
      <c r="B54" s="13">
        <v>45753</v>
      </c>
      <c r="C54" s="8" t="s">
        <v>25</v>
      </c>
      <c r="D54" s="2" t="s">
        <v>17</v>
      </c>
      <c r="E54" s="2" t="s">
        <v>46</v>
      </c>
      <c r="F54" s="2">
        <v>17</v>
      </c>
      <c r="G54" s="3">
        <v>74000</v>
      </c>
      <c r="H54" s="3">
        <f t="shared" si="0"/>
        <v>1258000</v>
      </c>
      <c r="I54" s="2" t="s">
        <v>33</v>
      </c>
      <c r="J54" s="2" t="s">
        <v>23</v>
      </c>
      <c r="K54" t="str">
        <f t="shared" si="1"/>
        <v>April</v>
      </c>
      <c r="M54" t="b">
        <f t="shared" si="2"/>
        <v>1</v>
      </c>
      <c r="N54" s="12">
        <f t="shared" si="3"/>
        <v>74000</v>
      </c>
      <c r="O54" s="12" t="b">
        <f t="shared" si="4"/>
        <v>1</v>
      </c>
      <c r="P54" t="b">
        <f t="shared" si="5"/>
        <v>1</v>
      </c>
    </row>
    <row r="55" spans="1:16" ht="15" customHeight="1" x14ac:dyDescent="0.3">
      <c r="A55" s="2" t="s">
        <v>135</v>
      </c>
      <c r="B55" s="13">
        <v>45762</v>
      </c>
      <c r="C55" s="8" t="s">
        <v>16</v>
      </c>
      <c r="D55" s="2" t="s">
        <v>31</v>
      </c>
      <c r="E55" s="2" t="s">
        <v>36</v>
      </c>
      <c r="F55" s="2">
        <v>25</v>
      </c>
      <c r="G55" s="3">
        <v>119000</v>
      </c>
      <c r="H55" s="3">
        <f t="shared" si="0"/>
        <v>2975000</v>
      </c>
      <c r="I55" s="2" t="s">
        <v>33</v>
      </c>
      <c r="J55" s="2" t="s">
        <v>23</v>
      </c>
      <c r="K55" t="str">
        <f t="shared" si="1"/>
        <v>April</v>
      </c>
      <c r="M55" t="b">
        <f t="shared" si="2"/>
        <v>1</v>
      </c>
      <c r="N55" s="12">
        <f t="shared" si="3"/>
        <v>119000</v>
      </c>
      <c r="O55" s="12" t="b">
        <f t="shared" si="4"/>
        <v>1</v>
      </c>
      <c r="P55" t="b">
        <f t="shared" si="5"/>
        <v>1</v>
      </c>
    </row>
    <row r="56" spans="1:16" ht="15" customHeight="1" x14ac:dyDescent="0.3">
      <c r="A56" s="2" t="s">
        <v>111</v>
      </c>
      <c r="B56" s="13">
        <v>45762</v>
      </c>
      <c r="C56" s="8" t="s">
        <v>16</v>
      </c>
      <c r="D56" s="2" t="s">
        <v>48</v>
      </c>
      <c r="E56" s="2" t="s">
        <v>77</v>
      </c>
      <c r="F56" s="2">
        <v>9</v>
      </c>
      <c r="G56" s="3">
        <v>136000</v>
      </c>
      <c r="H56" s="3">
        <f t="shared" si="0"/>
        <v>1224000</v>
      </c>
      <c r="I56" s="2" t="s">
        <v>19</v>
      </c>
      <c r="J56" s="2" t="s">
        <v>14</v>
      </c>
      <c r="K56" t="str">
        <f t="shared" si="1"/>
        <v>April</v>
      </c>
      <c r="M56" t="b">
        <f t="shared" si="2"/>
        <v>1</v>
      </c>
      <c r="N56" s="12">
        <f t="shared" si="3"/>
        <v>136000</v>
      </c>
      <c r="O56" s="12" t="b">
        <f t="shared" si="4"/>
        <v>1</v>
      </c>
      <c r="P56" t="b">
        <f t="shared" si="5"/>
        <v>1</v>
      </c>
    </row>
    <row r="57" spans="1:16" ht="15" customHeight="1" x14ac:dyDescent="0.3">
      <c r="A57" s="2" t="s">
        <v>178</v>
      </c>
      <c r="B57" s="13">
        <v>45766</v>
      </c>
      <c r="C57" s="8" t="s">
        <v>45</v>
      </c>
      <c r="D57" s="2" t="s">
        <v>11</v>
      </c>
      <c r="E57" s="2" t="s">
        <v>29</v>
      </c>
      <c r="F57" s="2">
        <v>11</v>
      </c>
      <c r="G57" s="3">
        <v>97000</v>
      </c>
      <c r="H57" s="3">
        <f t="shared" si="0"/>
        <v>1067000</v>
      </c>
      <c r="I57" s="2" t="s">
        <v>13</v>
      </c>
      <c r="J57" s="2" t="s">
        <v>23</v>
      </c>
      <c r="K57" t="str">
        <f t="shared" si="1"/>
        <v>April</v>
      </c>
      <c r="M57" t="b">
        <f t="shared" si="2"/>
        <v>1</v>
      </c>
      <c r="N57" s="12">
        <f t="shared" si="3"/>
        <v>97000</v>
      </c>
      <c r="O57" s="12" t="b">
        <f t="shared" si="4"/>
        <v>1</v>
      </c>
      <c r="P57" t="b">
        <f t="shared" si="5"/>
        <v>1</v>
      </c>
    </row>
    <row r="58" spans="1:16" ht="15" customHeight="1" x14ac:dyDescent="0.3">
      <c r="A58" s="2" t="s">
        <v>231</v>
      </c>
      <c r="B58" s="13">
        <v>45767</v>
      </c>
      <c r="C58" s="8" t="s">
        <v>80</v>
      </c>
      <c r="D58" s="2" t="s">
        <v>17</v>
      </c>
      <c r="E58" s="2" t="s">
        <v>22</v>
      </c>
      <c r="F58" s="2">
        <v>8</v>
      </c>
      <c r="G58" s="3">
        <v>57000</v>
      </c>
      <c r="H58" s="3">
        <f t="shared" si="0"/>
        <v>456000</v>
      </c>
      <c r="I58" s="2" t="s">
        <v>13</v>
      </c>
      <c r="J58" s="2" t="s">
        <v>14</v>
      </c>
      <c r="K58" t="str">
        <f t="shared" si="1"/>
        <v>April</v>
      </c>
      <c r="M58" t="b">
        <f t="shared" si="2"/>
        <v>1</v>
      </c>
      <c r="N58" s="12">
        <f t="shared" si="3"/>
        <v>57000</v>
      </c>
      <c r="O58" s="12" t="b">
        <f t="shared" si="4"/>
        <v>1</v>
      </c>
      <c r="P58" t="b">
        <f t="shared" si="5"/>
        <v>1</v>
      </c>
    </row>
    <row r="59" spans="1:16" ht="15" customHeight="1" x14ac:dyDescent="0.3">
      <c r="A59" s="2" t="s">
        <v>149</v>
      </c>
      <c r="B59" s="13">
        <v>45767</v>
      </c>
      <c r="C59" s="8" t="s">
        <v>21</v>
      </c>
      <c r="D59" s="2" t="s">
        <v>48</v>
      </c>
      <c r="E59" s="2" t="s">
        <v>89</v>
      </c>
      <c r="F59" s="2">
        <v>18</v>
      </c>
      <c r="G59" s="3">
        <v>108000</v>
      </c>
      <c r="H59" s="3">
        <f t="shared" si="0"/>
        <v>1944000</v>
      </c>
      <c r="I59" s="2" t="s">
        <v>37</v>
      </c>
      <c r="J59" s="2" t="s">
        <v>14</v>
      </c>
      <c r="K59" t="str">
        <f t="shared" si="1"/>
        <v>April</v>
      </c>
      <c r="M59" t="b">
        <f t="shared" si="2"/>
        <v>1</v>
      </c>
      <c r="N59" s="12">
        <f t="shared" si="3"/>
        <v>108000</v>
      </c>
      <c r="O59" s="12" t="b">
        <f t="shared" si="4"/>
        <v>1</v>
      </c>
      <c r="P59" t="b">
        <f t="shared" si="5"/>
        <v>1</v>
      </c>
    </row>
    <row r="60" spans="1:16" ht="15" customHeight="1" x14ac:dyDescent="0.3">
      <c r="A60" s="2" t="s">
        <v>239</v>
      </c>
      <c r="B60" s="13">
        <v>45774</v>
      </c>
      <c r="C60" s="8" t="s">
        <v>21</v>
      </c>
      <c r="D60" s="2" t="s">
        <v>11</v>
      </c>
      <c r="E60" s="2" t="s">
        <v>12</v>
      </c>
      <c r="F60" s="2">
        <v>7</v>
      </c>
      <c r="G60" s="3">
        <v>137000</v>
      </c>
      <c r="H60" s="3">
        <f t="shared" si="0"/>
        <v>959000</v>
      </c>
      <c r="I60" s="2" t="s">
        <v>19</v>
      </c>
      <c r="J60" s="2" t="s">
        <v>14</v>
      </c>
      <c r="K60" t="str">
        <f t="shared" si="1"/>
        <v>April</v>
      </c>
      <c r="M60" t="b">
        <f t="shared" si="2"/>
        <v>1</v>
      </c>
      <c r="N60" s="12">
        <f t="shared" si="3"/>
        <v>137000</v>
      </c>
      <c r="O60" s="12" t="b">
        <f t="shared" si="4"/>
        <v>1</v>
      </c>
      <c r="P60" t="b">
        <f t="shared" si="5"/>
        <v>1</v>
      </c>
    </row>
    <row r="61" spans="1:16" ht="15" customHeight="1" x14ac:dyDescent="0.3">
      <c r="A61" s="2" t="s">
        <v>47</v>
      </c>
      <c r="B61" s="13">
        <v>45775</v>
      </c>
      <c r="C61" s="8" t="s">
        <v>45</v>
      </c>
      <c r="D61" s="2" t="s">
        <v>48</v>
      </c>
      <c r="E61" s="2" t="s">
        <v>49</v>
      </c>
      <c r="F61" s="2">
        <v>25</v>
      </c>
      <c r="G61" s="3">
        <v>127000</v>
      </c>
      <c r="H61" s="3">
        <f t="shared" si="0"/>
        <v>3175000</v>
      </c>
      <c r="I61" s="2" t="s">
        <v>26</v>
      </c>
      <c r="J61" s="2" t="s">
        <v>14</v>
      </c>
      <c r="K61" t="str">
        <f t="shared" si="1"/>
        <v>April</v>
      </c>
      <c r="M61" t="b">
        <f t="shared" si="2"/>
        <v>1</v>
      </c>
      <c r="N61" s="12">
        <f t="shared" si="3"/>
        <v>127000</v>
      </c>
      <c r="O61" s="12" t="b">
        <f t="shared" si="4"/>
        <v>1</v>
      </c>
      <c r="P61" t="b">
        <f t="shared" si="5"/>
        <v>1</v>
      </c>
    </row>
    <row r="62" spans="1:16" ht="15" customHeight="1" x14ac:dyDescent="0.3">
      <c r="A62" s="2" t="s">
        <v>251</v>
      </c>
      <c r="B62" s="13">
        <v>45777</v>
      </c>
      <c r="C62" s="8" t="s">
        <v>28</v>
      </c>
      <c r="D62" s="2" t="s">
        <v>17</v>
      </c>
      <c r="E62" s="2" t="s">
        <v>46</v>
      </c>
      <c r="F62" s="2">
        <v>15</v>
      </c>
      <c r="G62" s="3">
        <v>67000</v>
      </c>
      <c r="H62" s="3">
        <f t="shared" si="0"/>
        <v>1005000</v>
      </c>
      <c r="I62" s="2" t="s">
        <v>26</v>
      </c>
      <c r="J62" s="2" t="s">
        <v>23</v>
      </c>
      <c r="K62" t="str">
        <f t="shared" si="1"/>
        <v>April</v>
      </c>
      <c r="M62" t="b">
        <f t="shared" si="2"/>
        <v>1</v>
      </c>
      <c r="N62" s="12">
        <f t="shared" si="3"/>
        <v>67000</v>
      </c>
      <c r="O62" s="12" t="b">
        <f t="shared" si="4"/>
        <v>1</v>
      </c>
      <c r="P62" t="b">
        <f t="shared" si="5"/>
        <v>1</v>
      </c>
    </row>
    <row r="63" spans="1:16" ht="15" customHeight="1" x14ac:dyDescent="0.3">
      <c r="A63" s="2" t="s">
        <v>175</v>
      </c>
      <c r="B63" s="13">
        <v>45780</v>
      </c>
      <c r="C63" s="8" t="s">
        <v>16</v>
      </c>
      <c r="D63" s="2" t="s">
        <v>17</v>
      </c>
      <c r="E63" s="2" t="s">
        <v>53</v>
      </c>
      <c r="F63" s="2">
        <v>23</v>
      </c>
      <c r="G63" s="3">
        <v>62000</v>
      </c>
      <c r="H63" s="3">
        <f t="shared" si="0"/>
        <v>1426000</v>
      </c>
      <c r="I63" s="2" t="s">
        <v>37</v>
      </c>
      <c r="J63" s="2" t="s">
        <v>14</v>
      </c>
      <c r="K63" t="str">
        <f t="shared" si="1"/>
        <v>May</v>
      </c>
      <c r="M63" t="b">
        <f t="shared" si="2"/>
        <v>1</v>
      </c>
      <c r="N63" s="12">
        <f t="shared" si="3"/>
        <v>62000</v>
      </c>
      <c r="O63" s="12" t="b">
        <f t="shared" si="4"/>
        <v>1</v>
      </c>
      <c r="P63" t="b">
        <f t="shared" si="5"/>
        <v>1</v>
      </c>
    </row>
    <row r="64" spans="1:16" ht="15" customHeight="1" x14ac:dyDescent="0.3">
      <c r="A64" s="2" t="s">
        <v>190</v>
      </c>
      <c r="B64" s="13">
        <v>45782</v>
      </c>
      <c r="C64" s="8" t="s">
        <v>25</v>
      </c>
      <c r="D64" s="2" t="s">
        <v>17</v>
      </c>
      <c r="E64" s="2" t="s">
        <v>22</v>
      </c>
      <c r="F64" s="2">
        <v>4</v>
      </c>
      <c r="G64" s="3">
        <v>74000</v>
      </c>
      <c r="H64" s="3">
        <f t="shared" si="0"/>
        <v>296000</v>
      </c>
      <c r="I64" s="2" t="s">
        <v>33</v>
      </c>
      <c r="J64" s="2" t="s">
        <v>23</v>
      </c>
      <c r="K64" t="str">
        <f t="shared" si="1"/>
        <v>May</v>
      </c>
      <c r="M64" t="b">
        <f t="shared" si="2"/>
        <v>1</v>
      </c>
      <c r="N64" s="12">
        <f t="shared" si="3"/>
        <v>74000</v>
      </c>
      <c r="O64" s="12" t="b">
        <f t="shared" si="4"/>
        <v>1</v>
      </c>
      <c r="P64" t="b">
        <f t="shared" si="5"/>
        <v>1</v>
      </c>
    </row>
    <row r="65" spans="1:16" ht="15" customHeight="1" x14ac:dyDescent="0.3">
      <c r="A65" s="2" t="s">
        <v>209</v>
      </c>
      <c r="B65" s="13">
        <v>45783</v>
      </c>
      <c r="C65" s="8" t="s">
        <v>80</v>
      </c>
      <c r="D65" s="2" t="s">
        <v>55</v>
      </c>
      <c r="E65" s="2" t="s">
        <v>117</v>
      </c>
      <c r="F65" s="2">
        <v>15</v>
      </c>
      <c r="G65" s="3">
        <v>93000</v>
      </c>
      <c r="H65" s="3">
        <f t="shared" si="0"/>
        <v>1395000</v>
      </c>
      <c r="I65" s="2" t="s">
        <v>37</v>
      </c>
      <c r="J65" s="2" t="s">
        <v>14</v>
      </c>
      <c r="K65" t="str">
        <f t="shared" si="1"/>
        <v>May</v>
      </c>
      <c r="M65" t="b">
        <f t="shared" si="2"/>
        <v>1</v>
      </c>
      <c r="N65" s="12">
        <f t="shared" si="3"/>
        <v>93000</v>
      </c>
      <c r="O65" s="12" t="b">
        <f t="shared" si="4"/>
        <v>1</v>
      </c>
      <c r="P65" t="b">
        <f t="shared" si="5"/>
        <v>1</v>
      </c>
    </row>
    <row r="66" spans="1:16" ht="15" customHeight="1" x14ac:dyDescent="0.3">
      <c r="A66" s="2" t="s">
        <v>242</v>
      </c>
      <c r="B66" s="13">
        <v>45784</v>
      </c>
      <c r="C66" s="8" t="s">
        <v>42</v>
      </c>
      <c r="D66" s="2" t="s">
        <v>11</v>
      </c>
      <c r="E66" s="2" t="s">
        <v>29</v>
      </c>
      <c r="F66" s="2">
        <v>10</v>
      </c>
      <c r="G66" s="3">
        <v>133000</v>
      </c>
      <c r="H66" s="3">
        <f t="shared" ref="H66:H129" si="6">F66*G66</f>
        <v>1330000</v>
      </c>
      <c r="I66" s="2" t="s">
        <v>19</v>
      </c>
      <c r="J66" s="2" t="s">
        <v>59</v>
      </c>
      <c r="K66" t="str">
        <f t="shared" ref="K66:K129" si="7">TEXT(B66,"MMMM")</f>
        <v>May</v>
      </c>
      <c r="M66" t="b">
        <f t="shared" si="2"/>
        <v>1</v>
      </c>
      <c r="N66" s="12">
        <f t="shared" si="3"/>
        <v>133000</v>
      </c>
      <c r="O66" s="12" t="b">
        <f t="shared" si="4"/>
        <v>1</v>
      </c>
      <c r="P66" t="b">
        <f t="shared" si="5"/>
        <v>1</v>
      </c>
    </row>
    <row r="67" spans="1:16" ht="15" customHeight="1" x14ac:dyDescent="0.3">
      <c r="A67" s="2" t="s">
        <v>138</v>
      </c>
      <c r="B67" s="13">
        <v>45785</v>
      </c>
      <c r="C67" s="8" t="s">
        <v>16</v>
      </c>
      <c r="D67" s="2" t="s">
        <v>31</v>
      </c>
      <c r="E67" s="2" t="s">
        <v>84</v>
      </c>
      <c r="F67" s="2">
        <v>13</v>
      </c>
      <c r="G67" s="3">
        <v>165000</v>
      </c>
      <c r="H67" s="3">
        <f t="shared" si="6"/>
        <v>2145000</v>
      </c>
      <c r="I67" s="2" t="s">
        <v>33</v>
      </c>
      <c r="J67" s="2" t="s">
        <v>14</v>
      </c>
      <c r="K67" t="str">
        <f t="shared" si="7"/>
        <v>May</v>
      </c>
      <c r="M67" t="b">
        <f t="shared" ref="M67:M130" si="8">ISNUMBER(F67)</f>
        <v>1</v>
      </c>
      <c r="N67" s="12">
        <f t="shared" ref="N67:N130" si="9">VALUE(SUBSTITUTE(SUBSTITUTE(G67,"Rp",""),",",""))</f>
        <v>165000</v>
      </c>
      <c r="O67" s="12" t="b">
        <f t="shared" ref="O67:O130" si="10">AND(B67&gt;=DATE(2025,1,1), B67&lt;=DATE(2025,12,31))</f>
        <v>1</v>
      </c>
      <c r="P67" t="b">
        <f t="shared" ref="P67:P130" si="11">ROUND(F67*G67,0)=ROUND(H67,0)</f>
        <v>1</v>
      </c>
    </row>
    <row r="68" spans="1:16" ht="15" customHeight="1" x14ac:dyDescent="0.3">
      <c r="A68" s="2" t="s">
        <v>116</v>
      </c>
      <c r="B68" s="13">
        <v>45791</v>
      </c>
      <c r="C68" s="8" t="s">
        <v>21</v>
      </c>
      <c r="D68" s="2" t="s">
        <v>55</v>
      </c>
      <c r="E68" s="2" t="s">
        <v>117</v>
      </c>
      <c r="F68" s="2">
        <v>9</v>
      </c>
      <c r="G68" s="3">
        <v>100000</v>
      </c>
      <c r="H68" s="3">
        <f t="shared" si="6"/>
        <v>900000</v>
      </c>
      <c r="I68" s="2" t="s">
        <v>19</v>
      </c>
      <c r="J68" s="2" t="s">
        <v>59</v>
      </c>
      <c r="K68" t="str">
        <f t="shared" si="7"/>
        <v>May</v>
      </c>
      <c r="M68" t="b">
        <f t="shared" si="8"/>
        <v>1</v>
      </c>
      <c r="N68" s="12">
        <f t="shared" si="9"/>
        <v>100000</v>
      </c>
      <c r="O68" s="12" t="b">
        <f t="shared" si="10"/>
        <v>1</v>
      </c>
      <c r="P68" t="b">
        <f t="shared" si="11"/>
        <v>1</v>
      </c>
    </row>
    <row r="69" spans="1:16" ht="15" customHeight="1" x14ac:dyDescent="0.3">
      <c r="A69" s="2" t="s">
        <v>69</v>
      </c>
      <c r="B69" s="13">
        <v>45791</v>
      </c>
      <c r="C69" s="8" t="s">
        <v>25</v>
      </c>
      <c r="D69" s="2" t="s">
        <v>31</v>
      </c>
      <c r="E69" s="2" t="s">
        <v>70</v>
      </c>
      <c r="F69" s="2">
        <v>10</v>
      </c>
      <c r="G69" s="3">
        <v>170000</v>
      </c>
      <c r="H69" s="3">
        <f t="shared" si="6"/>
        <v>1700000</v>
      </c>
      <c r="I69" s="2" t="s">
        <v>13</v>
      </c>
      <c r="J69" s="2" t="s">
        <v>14</v>
      </c>
      <c r="K69" t="str">
        <f t="shared" si="7"/>
        <v>May</v>
      </c>
      <c r="M69" t="b">
        <f t="shared" si="8"/>
        <v>1</v>
      </c>
      <c r="N69" s="12">
        <f t="shared" si="9"/>
        <v>170000</v>
      </c>
      <c r="O69" s="12" t="b">
        <f t="shared" si="10"/>
        <v>1</v>
      </c>
      <c r="P69" t="b">
        <f t="shared" si="11"/>
        <v>1</v>
      </c>
    </row>
    <row r="70" spans="1:16" ht="15" customHeight="1" x14ac:dyDescent="0.3">
      <c r="A70" s="2" t="s">
        <v>253</v>
      </c>
      <c r="B70" s="13">
        <v>45793</v>
      </c>
      <c r="C70" s="8" t="s">
        <v>28</v>
      </c>
      <c r="D70" s="2" t="s">
        <v>31</v>
      </c>
      <c r="E70" s="2" t="s">
        <v>36</v>
      </c>
      <c r="F70" s="2">
        <v>6</v>
      </c>
      <c r="G70" s="3">
        <v>64000</v>
      </c>
      <c r="H70" s="3">
        <f t="shared" si="6"/>
        <v>384000</v>
      </c>
      <c r="I70" s="2" t="s">
        <v>33</v>
      </c>
      <c r="J70" s="2" t="s">
        <v>23</v>
      </c>
      <c r="K70" t="str">
        <f t="shared" si="7"/>
        <v>May</v>
      </c>
      <c r="M70" t="b">
        <f t="shared" si="8"/>
        <v>1</v>
      </c>
      <c r="N70" s="12">
        <f t="shared" si="9"/>
        <v>64000</v>
      </c>
      <c r="O70" s="12" t="b">
        <f t="shared" si="10"/>
        <v>1</v>
      </c>
      <c r="P70" t="b">
        <f t="shared" si="11"/>
        <v>1</v>
      </c>
    </row>
    <row r="71" spans="1:16" ht="15" customHeight="1" x14ac:dyDescent="0.3">
      <c r="A71" s="2" t="s">
        <v>228</v>
      </c>
      <c r="B71" s="13">
        <v>45793</v>
      </c>
      <c r="C71" s="8" t="s">
        <v>80</v>
      </c>
      <c r="D71" s="2" t="s">
        <v>48</v>
      </c>
      <c r="E71" s="2" t="s">
        <v>77</v>
      </c>
      <c r="F71" s="2">
        <v>21</v>
      </c>
      <c r="G71" s="3">
        <v>78000</v>
      </c>
      <c r="H71" s="3">
        <f t="shared" si="6"/>
        <v>1638000</v>
      </c>
      <c r="I71" s="2" t="s">
        <v>19</v>
      </c>
      <c r="J71" s="2" t="s">
        <v>23</v>
      </c>
      <c r="K71" t="str">
        <f t="shared" si="7"/>
        <v>May</v>
      </c>
      <c r="M71" t="b">
        <f t="shared" si="8"/>
        <v>1</v>
      </c>
      <c r="N71" s="12">
        <f t="shared" si="9"/>
        <v>78000</v>
      </c>
      <c r="O71" s="12" t="b">
        <f t="shared" si="10"/>
        <v>1</v>
      </c>
      <c r="P71" t="b">
        <f t="shared" si="11"/>
        <v>1</v>
      </c>
    </row>
    <row r="72" spans="1:16" ht="15" customHeight="1" x14ac:dyDescent="0.3">
      <c r="A72" s="2" t="s">
        <v>169</v>
      </c>
      <c r="B72" s="13">
        <v>45797</v>
      </c>
      <c r="C72" s="8" t="s">
        <v>51</v>
      </c>
      <c r="D72" s="2" t="s">
        <v>48</v>
      </c>
      <c r="E72" s="2" t="s">
        <v>77</v>
      </c>
      <c r="F72" s="2">
        <v>15</v>
      </c>
      <c r="G72" s="3">
        <v>107000</v>
      </c>
      <c r="H72" s="3">
        <f t="shared" si="6"/>
        <v>1605000</v>
      </c>
      <c r="I72" s="2" t="s">
        <v>19</v>
      </c>
      <c r="J72" s="2" t="s">
        <v>14</v>
      </c>
      <c r="K72" t="str">
        <f t="shared" si="7"/>
        <v>May</v>
      </c>
      <c r="M72" t="b">
        <f t="shared" si="8"/>
        <v>1</v>
      </c>
      <c r="N72" s="12">
        <f t="shared" si="9"/>
        <v>107000</v>
      </c>
      <c r="O72" s="12" t="b">
        <f t="shared" si="10"/>
        <v>1</v>
      </c>
      <c r="P72" t="b">
        <f t="shared" si="11"/>
        <v>1</v>
      </c>
    </row>
    <row r="73" spans="1:16" ht="15" customHeight="1" x14ac:dyDescent="0.3">
      <c r="A73" s="2" t="s">
        <v>106</v>
      </c>
      <c r="B73" s="13">
        <v>45803</v>
      </c>
      <c r="C73" s="8" t="s">
        <v>51</v>
      </c>
      <c r="D73" s="2" t="s">
        <v>48</v>
      </c>
      <c r="E73" s="2" t="s">
        <v>89</v>
      </c>
      <c r="F73" s="2">
        <v>3</v>
      </c>
      <c r="G73" s="3">
        <v>58000</v>
      </c>
      <c r="H73" s="3">
        <f t="shared" si="6"/>
        <v>174000</v>
      </c>
      <c r="I73" s="2" t="s">
        <v>26</v>
      </c>
      <c r="J73" s="2" t="s">
        <v>14</v>
      </c>
      <c r="K73" t="str">
        <f t="shared" si="7"/>
        <v>May</v>
      </c>
      <c r="M73" t="b">
        <f t="shared" si="8"/>
        <v>1</v>
      </c>
      <c r="N73" s="12">
        <f t="shared" si="9"/>
        <v>58000</v>
      </c>
      <c r="O73" s="12" t="b">
        <f t="shared" si="10"/>
        <v>1</v>
      </c>
      <c r="P73" t="b">
        <f t="shared" si="11"/>
        <v>1</v>
      </c>
    </row>
    <row r="74" spans="1:16" ht="15" customHeight="1" x14ac:dyDescent="0.3">
      <c r="A74" s="2" t="s">
        <v>102</v>
      </c>
      <c r="B74" s="13">
        <v>45804</v>
      </c>
      <c r="C74" s="8" t="s">
        <v>21</v>
      </c>
      <c r="D74" s="2" t="s">
        <v>48</v>
      </c>
      <c r="E74" s="2" t="s">
        <v>89</v>
      </c>
      <c r="F74" s="2">
        <v>8</v>
      </c>
      <c r="G74" s="3">
        <v>116000</v>
      </c>
      <c r="H74" s="3">
        <f t="shared" si="6"/>
        <v>928000</v>
      </c>
      <c r="I74" s="2" t="s">
        <v>26</v>
      </c>
      <c r="J74" s="2" t="s">
        <v>23</v>
      </c>
      <c r="K74" t="str">
        <f t="shared" si="7"/>
        <v>May</v>
      </c>
      <c r="M74" t="b">
        <f t="shared" si="8"/>
        <v>1</v>
      </c>
      <c r="N74" s="12">
        <f t="shared" si="9"/>
        <v>116000</v>
      </c>
      <c r="O74" s="12" t="b">
        <f t="shared" si="10"/>
        <v>1</v>
      </c>
      <c r="P74" t="b">
        <f t="shared" si="11"/>
        <v>1</v>
      </c>
    </row>
    <row r="75" spans="1:16" ht="15" customHeight="1" x14ac:dyDescent="0.3">
      <c r="A75" s="2" t="s">
        <v>236</v>
      </c>
      <c r="B75" s="13">
        <v>45807</v>
      </c>
      <c r="C75" s="8" t="s">
        <v>51</v>
      </c>
      <c r="D75" s="2" t="s">
        <v>55</v>
      </c>
      <c r="E75" s="2" t="s">
        <v>56</v>
      </c>
      <c r="F75" s="2">
        <v>16</v>
      </c>
      <c r="G75" s="3">
        <v>73000</v>
      </c>
      <c r="H75" s="3">
        <f t="shared" si="6"/>
        <v>1168000</v>
      </c>
      <c r="I75" s="2" t="s">
        <v>33</v>
      </c>
      <c r="J75" s="2" t="s">
        <v>14</v>
      </c>
      <c r="K75" t="str">
        <f t="shared" si="7"/>
        <v>May</v>
      </c>
      <c r="M75" t="b">
        <f t="shared" si="8"/>
        <v>1</v>
      </c>
      <c r="N75" s="12">
        <f t="shared" si="9"/>
        <v>73000</v>
      </c>
      <c r="O75" s="12" t="b">
        <f t="shared" si="10"/>
        <v>1</v>
      </c>
      <c r="P75" t="b">
        <f t="shared" si="11"/>
        <v>1</v>
      </c>
    </row>
    <row r="76" spans="1:16" ht="15" customHeight="1" x14ac:dyDescent="0.3">
      <c r="A76" s="2" t="s">
        <v>44</v>
      </c>
      <c r="B76" s="13">
        <v>45810</v>
      </c>
      <c r="C76" s="8" t="s">
        <v>45</v>
      </c>
      <c r="D76" s="2" t="s">
        <v>17</v>
      </c>
      <c r="E76" s="2" t="s">
        <v>46</v>
      </c>
      <c r="F76" s="2">
        <v>19</v>
      </c>
      <c r="G76" s="3">
        <v>32000</v>
      </c>
      <c r="H76" s="3">
        <f t="shared" si="6"/>
        <v>608000</v>
      </c>
      <c r="I76" s="2" t="s">
        <v>26</v>
      </c>
      <c r="J76" s="2" t="s">
        <v>23</v>
      </c>
      <c r="K76" t="str">
        <f t="shared" si="7"/>
        <v>June</v>
      </c>
      <c r="M76" t="b">
        <f t="shared" si="8"/>
        <v>1</v>
      </c>
      <c r="N76" s="12">
        <f t="shared" si="9"/>
        <v>32000</v>
      </c>
      <c r="O76" s="12" t="b">
        <f t="shared" si="10"/>
        <v>1</v>
      </c>
      <c r="P76" t="b">
        <f t="shared" si="11"/>
        <v>1</v>
      </c>
    </row>
    <row r="77" spans="1:16" ht="15" customHeight="1" x14ac:dyDescent="0.3">
      <c r="A77" s="2" t="s">
        <v>264</v>
      </c>
      <c r="B77" s="13">
        <v>45810</v>
      </c>
      <c r="C77" s="8" t="s">
        <v>45</v>
      </c>
      <c r="D77" s="2" t="s">
        <v>48</v>
      </c>
      <c r="E77" s="2" t="s">
        <v>77</v>
      </c>
      <c r="F77" s="2">
        <v>5</v>
      </c>
      <c r="G77" s="3">
        <v>100000</v>
      </c>
      <c r="H77" s="3">
        <f t="shared" si="6"/>
        <v>500000</v>
      </c>
      <c r="I77" s="2" t="s">
        <v>37</v>
      </c>
      <c r="J77" s="2" t="s">
        <v>14</v>
      </c>
      <c r="K77" t="str">
        <f t="shared" si="7"/>
        <v>June</v>
      </c>
      <c r="M77" t="b">
        <f t="shared" si="8"/>
        <v>1</v>
      </c>
      <c r="N77" s="12">
        <f t="shared" si="9"/>
        <v>100000</v>
      </c>
      <c r="O77" s="12" t="b">
        <f t="shared" si="10"/>
        <v>1</v>
      </c>
      <c r="P77" t="b">
        <f t="shared" si="11"/>
        <v>1</v>
      </c>
    </row>
    <row r="78" spans="1:16" ht="15" customHeight="1" x14ac:dyDescent="0.3">
      <c r="A78" s="2" t="s">
        <v>224</v>
      </c>
      <c r="B78" s="13">
        <v>45815</v>
      </c>
      <c r="C78" s="8" t="s">
        <v>64</v>
      </c>
      <c r="D78" s="2" t="s">
        <v>17</v>
      </c>
      <c r="E78" s="2" t="s">
        <v>46</v>
      </c>
      <c r="F78" s="2">
        <v>1</v>
      </c>
      <c r="G78" s="3">
        <v>29000</v>
      </c>
      <c r="H78" s="3">
        <f t="shared" si="6"/>
        <v>29000</v>
      </c>
      <c r="I78" s="2" t="s">
        <v>33</v>
      </c>
      <c r="J78" s="2" t="s">
        <v>14</v>
      </c>
      <c r="K78" t="str">
        <f t="shared" si="7"/>
        <v>June</v>
      </c>
      <c r="M78" t="b">
        <f t="shared" si="8"/>
        <v>1</v>
      </c>
      <c r="N78" s="12">
        <f t="shared" si="9"/>
        <v>29000</v>
      </c>
      <c r="O78" s="12" t="b">
        <f t="shared" si="10"/>
        <v>1</v>
      </c>
      <c r="P78" t="b">
        <f t="shared" si="11"/>
        <v>1</v>
      </c>
    </row>
    <row r="79" spans="1:16" ht="15" customHeight="1" x14ac:dyDescent="0.3">
      <c r="A79" s="2" t="s">
        <v>177</v>
      </c>
      <c r="B79" s="13">
        <v>45818</v>
      </c>
      <c r="C79" s="8" t="s">
        <v>21</v>
      </c>
      <c r="D79" s="2" t="s">
        <v>31</v>
      </c>
      <c r="E79" s="2" t="s">
        <v>121</v>
      </c>
      <c r="F79" s="2">
        <v>17</v>
      </c>
      <c r="G79" s="3">
        <v>172000</v>
      </c>
      <c r="H79" s="3">
        <f t="shared" si="6"/>
        <v>2924000</v>
      </c>
      <c r="I79" s="2" t="s">
        <v>13</v>
      </c>
      <c r="J79" s="2" t="s">
        <v>59</v>
      </c>
      <c r="K79" t="str">
        <f t="shared" si="7"/>
        <v>June</v>
      </c>
      <c r="M79" t="b">
        <f t="shared" si="8"/>
        <v>1</v>
      </c>
      <c r="N79" s="12">
        <f t="shared" si="9"/>
        <v>172000</v>
      </c>
      <c r="O79" s="12" t="b">
        <f t="shared" si="10"/>
        <v>1</v>
      </c>
      <c r="P79" t="b">
        <f t="shared" si="11"/>
        <v>1</v>
      </c>
    </row>
    <row r="80" spans="1:16" ht="15" customHeight="1" x14ac:dyDescent="0.3">
      <c r="A80" s="2" t="s">
        <v>182</v>
      </c>
      <c r="B80" s="13">
        <v>45822</v>
      </c>
      <c r="C80" s="8" t="s">
        <v>21</v>
      </c>
      <c r="D80" s="2" t="s">
        <v>31</v>
      </c>
      <c r="E80" s="2" t="s">
        <v>70</v>
      </c>
      <c r="F80" s="2">
        <v>13</v>
      </c>
      <c r="G80" s="3">
        <v>150000</v>
      </c>
      <c r="H80" s="3">
        <f t="shared" si="6"/>
        <v>1950000</v>
      </c>
      <c r="I80" s="2" t="s">
        <v>33</v>
      </c>
      <c r="J80" s="2" t="s">
        <v>23</v>
      </c>
      <c r="K80" t="str">
        <f t="shared" si="7"/>
        <v>June</v>
      </c>
      <c r="M80" t="b">
        <f t="shared" si="8"/>
        <v>1</v>
      </c>
      <c r="N80" s="12">
        <f t="shared" si="9"/>
        <v>150000</v>
      </c>
      <c r="O80" s="12" t="b">
        <f t="shared" si="10"/>
        <v>1</v>
      </c>
      <c r="P80" t="b">
        <f t="shared" si="11"/>
        <v>1</v>
      </c>
    </row>
    <row r="81" spans="1:16" ht="15" customHeight="1" x14ac:dyDescent="0.3">
      <c r="A81" s="2" t="s">
        <v>276</v>
      </c>
      <c r="B81" s="13">
        <v>45823</v>
      </c>
      <c r="C81" s="8" t="s">
        <v>21</v>
      </c>
      <c r="D81" s="2" t="s">
        <v>55</v>
      </c>
      <c r="E81" s="2" t="s">
        <v>92</v>
      </c>
      <c r="F81" s="2">
        <v>10</v>
      </c>
      <c r="G81" s="3">
        <v>40000</v>
      </c>
      <c r="H81" s="3">
        <f t="shared" si="6"/>
        <v>400000</v>
      </c>
      <c r="I81" s="2" t="s">
        <v>26</v>
      </c>
      <c r="J81" s="2" t="s">
        <v>23</v>
      </c>
      <c r="K81" t="str">
        <f t="shared" si="7"/>
        <v>June</v>
      </c>
      <c r="M81" t="b">
        <f t="shared" si="8"/>
        <v>1</v>
      </c>
      <c r="N81" s="12">
        <f t="shared" si="9"/>
        <v>40000</v>
      </c>
      <c r="O81" s="12" t="b">
        <f t="shared" si="10"/>
        <v>1</v>
      </c>
      <c r="P81" t="b">
        <f t="shared" si="11"/>
        <v>1</v>
      </c>
    </row>
    <row r="82" spans="1:16" ht="15" customHeight="1" x14ac:dyDescent="0.3">
      <c r="A82" s="2" t="s">
        <v>147</v>
      </c>
      <c r="B82" s="13">
        <v>45824</v>
      </c>
      <c r="C82" s="8" t="s">
        <v>42</v>
      </c>
      <c r="D82" s="2" t="s">
        <v>48</v>
      </c>
      <c r="E82" s="2" t="s">
        <v>77</v>
      </c>
      <c r="F82" s="2">
        <v>23</v>
      </c>
      <c r="G82" s="3">
        <v>61000</v>
      </c>
      <c r="H82" s="3">
        <f t="shared" si="6"/>
        <v>1403000</v>
      </c>
      <c r="I82" s="2" t="s">
        <v>33</v>
      </c>
      <c r="J82" s="2" t="s">
        <v>14</v>
      </c>
      <c r="K82" t="str">
        <f t="shared" si="7"/>
        <v>June</v>
      </c>
      <c r="M82" t="b">
        <f t="shared" si="8"/>
        <v>1</v>
      </c>
      <c r="N82" s="12">
        <f t="shared" si="9"/>
        <v>61000</v>
      </c>
      <c r="O82" s="12" t="b">
        <f t="shared" si="10"/>
        <v>1</v>
      </c>
      <c r="P82" t="b">
        <f t="shared" si="11"/>
        <v>1</v>
      </c>
    </row>
    <row r="83" spans="1:16" ht="15" customHeight="1" x14ac:dyDescent="0.3">
      <c r="A83" s="2" t="s">
        <v>115</v>
      </c>
      <c r="B83" s="13">
        <v>45826</v>
      </c>
      <c r="C83" s="8" t="s">
        <v>42</v>
      </c>
      <c r="D83" s="2" t="s">
        <v>48</v>
      </c>
      <c r="E83" s="2" t="s">
        <v>49</v>
      </c>
      <c r="F83" s="2">
        <v>21</v>
      </c>
      <c r="G83" s="3">
        <v>32000</v>
      </c>
      <c r="H83" s="3">
        <f t="shared" si="6"/>
        <v>672000</v>
      </c>
      <c r="I83" s="2" t="s">
        <v>19</v>
      </c>
      <c r="J83" s="2" t="s">
        <v>14</v>
      </c>
      <c r="K83" t="str">
        <f t="shared" si="7"/>
        <v>June</v>
      </c>
      <c r="M83" t="b">
        <f t="shared" si="8"/>
        <v>1</v>
      </c>
      <c r="N83" s="12">
        <f t="shared" si="9"/>
        <v>32000</v>
      </c>
      <c r="O83" s="12" t="b">
        <f t="shared" si="10"/>
        <v>1</v>
      </c>
      <c r="P83" t="b">
        <f t="shared" si="11"/>
        <v>1</v>
      </c>
    </row>
    <row r="84" spans="1:16" ht="15" customHeight="1" x14ac:dyDescent="0.3">
      <c r="A84" s="2" t="s">
        <v>267</v>
      </c>
      <c r="B84" s="13">
        <v>45828</v>
      </c>
      <c r="C84" s="8" t="s">
        <v>28</v>
      </c>
      <c r="D84" s="2" t="s">
        <v>48</v>
      </c>
      <c r="E84" s="2" t="s">
        <v>66</v>
      </c>
      <c r="F84" s="2">
        <v>12</v>
      </c>
      <c r="G84" s="3">
        <v>69000</v>
      </c>
      <c r="H84" s="3">
        <f t="shared" si="6"/>
        <v>828000</v>
      </c>
      <c r="I84" s="2" t="s">
        <v>37</v>
      </c>
      <c r="J84" s="2" t="s">
        <v>14</v>
      </c>
      <c r="K84" t="str">
        <f t="shared" si="7"/>
        <v>June</v>
      </c>
      <c r="M84" t="b">
        <f t="shared" si="8"/>
        <v>1</v>
      </c>
      <c r="N84" s="12">
        <f t="shared" si="9"/>
        <v>69000</v>
      </c>
      <c r="O84" s="12" t="b">
        <f t="shared" si="10"/>
        <v>1</v>
      </c>
      <c r="P84" t="b">
        <f t="shared" si="11"/>
        <v>1</v>
      </c>
    </row>
    <row r="85" spans="1:16" ht="15" customHeight="1" x14ac:dyDescent="0.3">
      <c r="A85" s="2" t="s">
        <v>211</v>
      </c>
      <c r="B85" s="13">
        <v>45828</v>
      </c>
      <c r="C85" s="8" t="s">
        <v>42</v>
      </c>
      <c r="D85" s="2" t="s">
        <v>55</v>
      </c>
      <c r="E85" s="2" t="s">
        <v>117</v>
      </c>
      <c r="F85" s="2">
        <v>24</v>
      </c>
      <c r="G85" s="3">
        <v>86000</v>
      </c>
      <c r="H85" s="3">
        <f t="shared" si="6"/>
        <v>2064000</v>
      </c>
      <c r="I85" s="2" t="s">
        <v>13</v>
      </c>
      <c r="J85" s="2" t="s">
        <v>59</v>
      </c>
      <c r="K85" t="str">
        <f t="shared" si="7"/>
        <v>June</v>
      </c>
      <c r="M85" t="b">
        <f t="shared" si="8"/>
        <v>1</v>
      </c>
      <c r="N85" s="12">
        <f t="shared" si="9"/>
        <v>86000</v>
      </c>
      <c r="O85" s="12" t="b">
        <f t="shared" si="10"/>
        <v>1</v>
      </c>
      <c r="P85" t="b">
        <f t="shared" si="11"/>
        <v>1</v>
      </c>
    </row>
    <row r="86" spans="1:16" ht="15" customHeight="1" x14ac:dyDescent="0.3">
      <c r="A86" s="2" t="s">
        <v>249</v>
      </c>
      <c r="B86" s="13">
        <v>45828</v>
      </c>
      <c r="C86" s="8" t="s">
        <v>25</v>
      </c>
      <c r="D86" s="2" t="s">
        <v>48</v>
      </c>
      <c r="E86" s="2" t="s">
        <v>77</v>
      </c>
      <c r="F86" s="2">
        <v>5</v>
      </c>
      <c r="G86" s="3">
        <v>149000</v>
      </c>
      <c r="H86" s="3">
        <f t="shared" si="6"/>
        <v>745000</v>
      </c>
      <c r="I86" s="2" t="s">
        <v>37</v>
      </c>
      <c r="J86" s="2" t="s">
        <v>14</v>
      </c>
      <c r="K86" t="str">
        <f t="shared" si="7"/>
        <v>June</v>
      </c>
      <c r="M86" t="b">
        <f t="shared" si="8"/>
        <v>1</v>
      </c>
      <c r="N86" s="12">
        <f t="shared" si="9"/>
        <v>149000</v>
      </c>
      <c r="O86" s="12" t="b">
        <f t="shared" si="10"/>
        <v>1</v>
      </c>
      <c r="P86" t="b">
        <f t="shared" si="11"/>
        <v>1</v>
      </c>
    </row>
    <row r="87" spans="1:16" ht="15" customHeight="1" x14ac:dyDescent="0.3">
      <c r="A87" s="2" t="s">
        <v>220</v>
      </c>
      <c r="B87" s="13">
        <v>45829</v>
      </c>
      <c r="C87" s="8" t="s">
        <v>16</v>
      </c>
      <c r="D87" s="2" t="s">
        <v>17</v>
      </c>
      <c r="E87" s="2" t="s">
        <v>18</v>
      </c>
      <c r="F87" s="2">
        <v>5</v>
      </c>
      <c r="G87" s="3">
        <v>44000</v>
      </c>
      <c r="H87" s="3">
        <f t="shared" si="6"/>
        <v>220000</v>
      </c>
      <c r="I87" s="2" t="s">
        <v>13</v>
      </c>
      <c r="J87" s="2" t="s">
        <v>14</v>
      </c>
      <c r="K87" t="str">
        <f t="shared" si="7"/>
        <v>June</v>
      </c>
      <c r="M87" t="b">
        <f t="shared" si="8"/>
        <v>1</v>
      </c>
      <c r="N87" s="12">
        <f t="shared" si="9"/>
        <v>44000</v>
      </c>
      <c r="O87" s="12" t="b">
        <f t="shared" si="10"/>
        <v>1</v>
      </c>
      <c r="P87" t="b">
        <f t="shared" si="11"/>
        <v>1</v>
      </c>
    </row>
    <row r="88" spans="1:16" ht="15" customHeight="1" x14ac:dyDescent="0.3">
      <c r="A88" s="2" t="s">
        <v>148</v>
      </c>
      <c r="B88" s="13">
        <v>45831</v>
      </c>
      <c r="C88" s="8" t="s">
        <v>51</v>
      </c>
      <c r="D88" s="2" t="s">
        <v>55</v>
      </c>
      <c r="E88" s="2" t="s">
        <v>117</v>
      </c>
      <c r="F88" s="2">
        <v>7</v>
      </c>
      <c r="G88" s="3">
        <v>66000</v>
      </c>
      <c r="H88" s="3">
        <f t="shared" si="6"/>
        <v>462000</v>
      </c>
      <c r="I88" s="4" t="s">
        <v>277</v>
      </c>
      <c r="J88" s="2" t="s">
        <v>14</v>
      </c>
      <c r="K88" t="str">
        <f t="shared" si="7"/>
        <v>June</v>
      </c>
      <c r="M88" t="b">
        <f t="shared" si="8"/>
        <v>1</v>
      </c>
      <c r="N88" s="12">
        <f t="shared" si="9"/>
        <v>66000</v>
      </c>
      <c r="O88" s="12" t="b">
        <f t="shared" si="10"/>
        <v>1</v>
      </c>
      <c r="P88" t="b">
        <f t="shared" si="11"/>
        <v>1</v>
      </c>
    </row>
    <row r="89" spans="1:16" ht="15" customHeight="1" x14ac:dyDescent="0.3">
      <c r="A89" s="2" t="s">
        <v>173</v>
      </c>
      <c r="B89" s="13">
        <v>45832</v>
      </c>
      <c r="C89" s="8" t="s">
        <v>16</v>
      </c>
      <c r="D89" s="2" t="s">
        <v>31</v>
      </c>
      <c r="E89" s="2" t="s">
        <v>36</v>
      </c>
      <c r="F89" s="2">
        <v>25</v>
      </c>
      <c r="G89" s="3">
        <v>71000</v>
      </c>
      <c r="H89" s="3">
        <f t="shared" si="6"/>
        <v>1775000</v>
      </c>
      <c r="I89" s="2" t="s">
        <v>19</v>
      </c>
      <c r="J89" s="2" t="s">
        <v>23</v>
      </c>
      <c r="K89" t="str">
        <f t="shared" si="7"/>
        <v>June</v>
      </c>
      <c r="M89" t="b">
        <f t="shared" si="8"/>
        <v>1</v>
      </c>
      <c r="N89" s="12">
        <f t="shared" si="9"/>
        <v>71000</v>
      </c>
      <c r="O89" s="12" t="b">
        <f t="shared" si="10"/>
        <v>1</v>
      </c>
      <c r="P89" t="b">
        <f t="shared" si="11"/>
        <v>1</v>
      </c>
    </row>
    <row r="90" spans="1:16" ht="15" customHeight="1" x14ac:dyDescent="0.3">
      <c r="A90" s="2" t="s">
        <v>119</v>
      </c>
      <c r="B90" s="13">
        <v>45832</v>
      </c>
      <c r="C90" s="8" t="s">
        <v>42</v>
      </c>
      <c r="D90" s="2" t="s">
        <v>55</v>
      </c>
      <c r="E90" s="2" t="s">
        <v>97</v>
      </c>
      <c r="F90" s="2">
        <v>24</v>
      </c>
      <c r="G90" s="3">
        <v>21000</v>
      </c>
      <c r="H90" s="3">
        <f t="shared" si="6"/>
        <v>504000</v>
      </c>
      <c r="I90" s="2" t="s">
        <v>37</v>
      </c>
      <c r="J90" s="2" t="s">
        <v>14</v>
      </c>
      <c r="K90" t="str">
        <f t="shared" si="7"/>
        <v>June</v>
      </c>
      <c r="M90" t="b">
        <f t="shared" si="8"/>
        <v>1</v>
      </c>
      <c r="N90" s="12">
        <f t="shared" si="9"/>
        <v>21000</v>
      </c>
      <c r="O90" s="12" t="b">
        <f t="shared" si="10"/>
        <v>1</v>
      </c>
      <c r="P90" t="b">
        <f t="shared" si="11"/>
        <v>1</v>
      </c>
    </row>
    <row r="91" spans="1:16" ht="15" customHeight="1" x14ac:dyDescent="0.3">
      <c r="A91" s="2" t="s">
        <v>205</v>
      </c>
      <c r="B91" s="13">
        <v>45834</v>
      </c>
      <c r="C91" s="8" t="s">
        <v>35</v>
      </c>
      <c r="D91" s="2" t="s">
        <v>31</v>
      </c>
      <c r="E91" s="2" t="s">
        <v>32</v>
      </c>
      <c r="F91" s="2">
        <v>17</v>
      </c>
      <c r="G91" s="3">
        <v>72000</v>
      </c>
      <c r="H91" s="3">
        <f t="shared" si="6"/>
        <v>1224000</v>
      </c>
      <c r="I91" s="2" t="s">
        <v>13</v>
      </c>
      <c r="J91" s="2" t="s">
        <v>14</v>
      </c>
      <c r="K91" t="str">
        <f t="shared" si="7"/>
        <v>June</v>
      </c>
      <c r="M91" t="b">
        <f t="shared" si="8"/>
        <v>1</v>
      </c>
      <c r="N91" s="12">
        <f t="shared" si="9"/>
        <v>72000</v>
      </c>
      <c r="O91" s="12" t="b">
        <f t="shared" si="10"/>
        <v>1</v>
      </c>
      <c r="P91" t="b">
        <f t="shared" si="11"/>
        <v>1</v>
      </c>
    </row>
    <row r="92" spans="1:16" ht="15" customHeight="1" x14ac:dyDescent="0.3">
      <c r="A92" s="2" t="s">
        <v>189</v>
      </c>
      <c r="B92" s="13">
        <v>45838</v>
      </c>
      <c r="C92" s="8" t="s">
        <v>16</v>
      </c>
      <c r="D92" s="2" t="s">
        <v>17</v>
      </c>
      <c r="E92" s="2" t="s">
        <v>18</v>
      </c>
      <c r="F92" s="2">
        <v>18</v>
      </c>
      <c r="G92" s="3">
        <v>48000</v>
      </c>
      <c r="H92" s="3">
        <f t="shared" si="6"/>
        <v>864000</v>
      </c>
      <c r="I92" s="2" t="s">
        <v>33</v>
      </c>
      <c r="J92" s="2" t="s">
        <v>14</v>
      </c>
      <c r="K92" t="str">
        <f t="shared" si="7"/>
        <v>June</v>
      </c>
      <c r="M92" t="b">
        <f t="shared" si="8"/>
        <v>1</v>
      </c>
      <c r="N92" s="12">
        <f t="shared" si="9"/>
        <v>48000</v>
      </c>
      <c r="O92" s="12" t="b">
        <f t="shared" si="10"/>
        <v>1</v>
      </c>
      <c r="P92" t="b">
        <f t="shared" si="11"/>
        <v>1</v>
      </c>
    </row>
    <row r="93" spans="1:16" ht="15" customHeight="1" x14ac:dyDescent="0.3">
      <c r="A93" s="2" t="s">
        <v>122</v>
      </c>
      <c r="B93" s="13">
        <v>45843</v>
      </c>
      <c r="C93" s="8" t="s">
        <v>16</v>
      </c>
      <c r="D93" s="2" t="s">
        <v>31</v>
      </c>
      <c r="E93" s="2" t="s">
        <v>84</v>
      </c>
      <c r="F93" s="2">
        <v>8</v>
      </c>
      <c r="G93" s="3">
        <v>65000</v>
      </c>
      <c r="H93" s="3">
        <f t="shared" si="6"/>
        <v>520000</v>
      </c>
      <c r="I93" s="2" t="s">
        <v>13</v>
      </c>
      <c r="J93" s="2" t="s">
        <v>59</v>
      </c>
      <c r="K93" t="str">
        <f t="shared" si="7"/>
        <v>July</v>
      </c>
      <c r="M93" t="b">
        <f t="shared" si="8"/>
        <v>1</v>
      </c>
      <c r="N93" s="12">
        <f t="shared" si="9"/>
        <v>65000</v>
      </c>
      <c r="O93" s="12" t="b">
        <f t="shared" si="10"/>
        <v>1</v>
      </c>
      <c r="P93" t="b">
        <f t="shared" si="11"/>
        <v>1</v>
      </c>
    </row>
    <row r="94" spans="1:16" ht="15" customHeight="1" x14ac:dyDescent="0.3">
      <c r="A94" s="2" t="s">
        <v>150</v>
      </c>
      <c r="B94" s="13">
        <v>45843</v>
      </c>
      <c r="C94" s="8" t="s">
        <v>51</v>
      </c>
      <c r="D94" s="2" t="s">
        <v>48</v>
      </c>
      <c r="E94" s="2" t="s">
        <v>49</v>
      </c>
      <c r="F94" s="2">
        <v>15</v>
      </c>
      <c r="G94" s="3">
        <v>123000</v>
      </c>
      <c r="H94" s="3">
        <f t="shared" si="6"/>
        <v>1845000</v>
      </c>
      <c r="I94" s="2" t="s">
        <v>37</v>
      </c>
      <c r="J94" s="2" t="s">
        <v>14</v>
      </c>
      <c r="K94" t="str">
        <f t="shared" si="7"/>
        <v>July</v>
      </c>
      <c r="M94" t="b">
        <f t="shared" si="8"/>
        <v>1</v>
      </c>
      <c r="N94" s="12">
        <f t="shared" si="9"/>
        <v>123000</v>
      </c>
      <c r="O94" s="12" t="b">
        <f t="shared" si="10"/>
        <v>1</v>
      </c>
      <c r="P94" t="b">
        <f t="shared" si="11"/>
        <v>1</v>
      </c>
    </row>
    <row r="95" spans="1:16" ht="15" customHeight="1" x14ac:dyDescent="0.3">
      <c r="A95" s="2" t="s">
        <v>268</v>
      </c>
      <c r="B95" s="13">
        <v>45845</v>
      </c>
      <c r="C95" s="8" t="s">
        <v>64</v>
      </c>
      <c r="D95" s="2" t="s">
        <v>17</v>
      </c>
      <c r="E95" s="2" t="s">
        <v>53</v>
      </c>
      <c r="F95" s="2">
        <v>19</v>
      </c>
      <c r="G95" s="3">
        <v>90000</v>
      </c>
      <c r="H95" s="3">
        <f t="shared" si="6"/>
        <v>1710000</v>
      </c>
      <c r="I95" s="2" t="s">
        <v>13</v>
      </c>
      <c r="J95" s="2" t="s">
        <v>14</v>
      </c>
      <c r="K95" t="str">
        <f t="shared" si="7"/>
        <v>July</v>
      </c>
      <c r="M95" t="b">
        <f t="shared" si="8"/>
        <v>1</v>
      </c>
      <c r="N95" s="12">
        <f t="shared" si="9"/>
        <v>90000</v>
      </c>
      <c r="O95" s="12" t="b">
        <f t="shared" si="10"/>
        <v>1</v>
      </c>
      <c r="P95" t="b">
        <f t="shared" si="11"/>
        <v>1</v>
      </c>
    </row>
    <row r="96" spans="1:16" ht="15" customHeight="1" x14ac:dyDescent="0.3">
      <c r="A96" s="2" t="s">
        <v>34</v>
      </c>
      <c r="B96" s="13">
        <v>45849</v>
      </c>
      <c r="C96" s="8" t="s">
        <v>35</v>
      </c>
      <c r="D96" s="2" t="s">
        <v>31</v>
      </c>
      <c r="E96" s="2" t="s">
        <v>36</v>
      </c>
      <c r="F96" s="2">
        <v>17</v>
      </c>
      <c r="G96" s="3">
        <v>91000</v>
      </c>
      <c r="H96" s="3">
        <f t="shared" si="6"/>
        <v>1547000</v>
      </c>
      <c r="I96" s="2" t="s">
        <v>37</v>
      </c>
      <c r="J96" s="2" t="s">
        <v>23</v>
      </c>
      <c r="K96" t="str">
        <f t="shared" si="7"/>
        <v>July</v>
      </c>
      <c r="M96" t="b">
        <f t="shared" si="8"/>
        <v>1</v>
      </c>
      <c r="N96" s="12">
        <f t="shared" si="9"/>
        <v>91000</v>
      </c>
      <c r="O96" s="12" t="b">
        <f t="shared" si="10"/>
        <v>1</v>
      </c>
      <c r="P96" t="b">
        <f t="shared" si="11"/>
        <v>1</v>
      </c>
    </row>
    <row r="97" spans="1:16" ht="15" customHeight="1" x14ac:dyDescent="0.3">
      <c r="A97" s="2" t="s">
        <v>271</v>
      </c>
      <c r="B97" s="13">
        <v>45849</v>
      </c>
      <c r="C97" s="8" t="s">
        <v>21</v>
      </c>
      <c r="D97" s="2" t="s">
        <v>17</v>
      </c>
      <c r="E97" s="2" t="s">
        <v>53</v>
      </c>
      <c r="F97" s="2">
        <v>12</v>
      </c>
      <c r="G97" s="3">
        <v>32000</v>
      </c>
      <c r="H97" s="3">
        <f t="shared" si="6"/>
        <v>384000</v>
      </c>
      <c r="I97" s="2" t="s">
        <v>19</v>
      </c>
      <c r="J97" s="2" t="s">
        <v>23</v>
      </c>
      <c r="K97" t="str">
        <f t="shared" si="7"/>
        <v>July</v>
      </c>
      <c r="M97" t="b">
        <f t="shared" si="8"/>
        <v>1</v>
      </c>
      <c r="N97" s="12">
        <f t="shared" si="9"/>
        <v>32000</v>
      </c>
      <c r="O97" s="12" t="b">
        <f t="shared" si="10"/>
        <v>1</v>
      </c>
      <c r="P97" t="b">
        <f t="shared" si="11"/>
        <v>1</v>
      </c>
    </row>
    <row r="98" spans="1:16" ht="15" customHeight="1" x14ac:dyDescent="0.3">
      <c r="A98" s="2" t="s">
        <v>240</v>
      </c>
      <c r="B98" s="13">
        <v>45852</v>
      </c>
      <c r="C98" s="8" t="s">
        <v>42</v>
      </c>
      <c r="D98" s="2" t="s">
        <v>31</v>
      </c>
      <c r="E98" s="2" t="s">
        <v>84</v>
      </c>
      <c r="F98" s="2">
        <v>19</v>
      </c>
      <c r="G98" s="3">
        <v>73000</v>
      </c>
      <c r="H98" s="3">
        <f t="shared" si="6"/>
        <v>1387000</v>
      </c>
      <c r="I98" s="2" t="s">
        <v>19</v>
      </c>
      <c r="J98" s="2" t="s">
        <v>14</v>
      </c>
      <c r="K98" t="str">
        <f t="shared" si="7"/>
        <v>July</v>
      </c>
      <c r="M98" t="b">
        <f t="shared" si="8"/>
        <v>1</v>
      </c>
      <c r="N98" s="12">
        <f t="shared" si="9"/>
        <v>73000</v>
      </c>
      <c r="O98" s="12" t="b">
        <f t="shared" si="10"/>
        <v>1</v>
      </c>
      <c r="P98" t="b">
        <f t="shared" si="11"/>
        <v>1</v>
      </c>
    </row>
    <row r="99" spans="1:16" ht="15" customHeight="1" x14ac:dyDescent="0.3">
      <c r="A99" s="2" t="s">
        <v>245</v>
      </c>
      <c r="B99" s="13">
        <v>45852</v>
      </c>
      <c r="C99" s="8" t="s">
        <v>16</v>
      </c>
      <c r="D99" s="2" t="s">
        <v>17</v>
      </c>
      <c r="E99" s="2" t="s">
        <v>46</v>
      </c>
      <c r="F99" s="2">
        <v>3</v>
      </c>
      <c r="G99" s="3">
        <v>89000</v>
      </c>
      <c r="H99" s="3">
        <f t="shared" si="6"/>
        <v>267000</v>
      </c>
      <c r="I99" s="2" t="s">
        <v>19</v>
      </c>
      <c r="J99" s="2" t="s">
        <v>14</v>
      </c>
      <c r="K99" t="str">
        <f t="shared" si="7"/>
        <v>July</v>
      </c>
      <c r="M99" t="b">
        <f t="shared" si="8"/>
        <v>1</v>
      </c>
      <c r="N99" s="12">
        <f t="shared" si="9"/>
        <v>89000</v>
      </c>
      <c r="O99" s="12" t="b">
        <f t="shared" si="10"/>
        <v>1</v>
      </c>
      <c r="P99" t="b">
        <f t="shared" si="11"/>
        <v>1</v>
      </c>
    </row>
    <row r="100" spans="1:16" ht="15" customHeight="1" x14ac:dyDescent="0.3">
      <c r="A100" s="2" t="s">
        <v>161</v>
      </c>
      <c r="B100" s="13">
        <v>45853</v>
      </c>
      <c r="C100" s="8" t="s">
        <v>35</v>
      </c>
      <c r="D100" s="2" t="s">
        <v>31</v>
      </c>
      <c r="E100" s="2" t="s">
        <v>121</v>
      </c>
      <c r="F100" s="2">
        <v>2</v>
      </c>
      <c r="G100" s="3">
        <v>173000</v>
      </c>
      <c r="H100" s="3">
        <f t="shared" si="6"/>
        <v>346000</v>
      </c>
      <c r="I100" s="2" t="s">
        <v>13</v>
      </c>
      <c r="J100" s="2" t="s">
        <v>23</v>
      </c>
      <c r="K100" t="str">
        <f t="shared" si="7"/>
        <v>July</v>
      </c>
      <c r="M100" t="b">
        <f t="shared" si="8"/>
        <v>1</v>
      </c>
      <c r="N100" s="12">
        <f t="shared" si="9"/>
        <v>173000</v>
      </c>
      <c r="O100" s="12" t="b">
        <f t="shared" si="10"/>
        <v>1</v>
      </c>
      <c r="P100" t="b">
        <f t="shared" si="11"/>
        <v>1</v>
      </c>
    </row>
    <row r="101" spans="1:16" ht="15" customHeight="1" x14ac:dyDescent="0.3">
      <c r="A101" s="2" t="s">
        <v>180</v>
      </c>
      <c r="B101" s="13">
        <v>45857</v>
      </c>
      <c r="C101" s="8" t="s">
        <v>80</v>
      </c>
      <c r="D101" s="2" t="s">
        <v>17</v>
      </c>
      <c r="E101" s="2" t="s">
        <v>22</v>
      </c>
      <c r="F101" s="2">
        <v>15</v>
      </c>
      <c r="G101" s="3">
        <v>95000</v>
      </c>
      <c r="H101" s="3">
        <f t="shared" si="6"/>
        <v>1425000</v>
      </c>
      <c r="I101" s="2" t="s">
        <v>13</v>
      </c>
      <c r="J101" s="2" t="s">
        <v>14</v>
      </c>
      <c r="K101" t="str">
        <f t="shared" si="7"/>
        <v>July</v>
      </c>
      <c r="M101" t="b">
        <f t="shared" si="8"/>
        <v>1</v>
      </c>
      <c r="N101" s="12">
        <f t="shared" si="9"/>
        <v>95000</v>
      </c>
      <c r="O101" s="12" t="b">
        <f t="shared" si="10"/>
        <v>1</v>
      </c>
      <c r="P101" t="b">
        <f t="shared" si="11"/>
        <v>1</v>
      </c>
    </row>
    <row r="102" spans="1:16" ht="15" customHeight="1" x14ac:dyDescent="0.3">
      <c r="A102" s="2" t="s">
        <v>185</v>
      </c>
      <c r="B102" s="13">
        <v>45857</v>
      </c>
      <c r="C102" s="8" t="s">
        <v>25</v>
      </c>
      <c r="D102" s="2" t="s">
        <v>11</v>
      </c>
      <c r="E102" s="2" t="s">
        <v>12</v>
      </c>
      <c r="F102" s="2">
        <v>13</v>
      </c>
      <c r="G102" s="3">
        <v>130000</v>
      </c>
      <c r="H102" s="3">
        <f t="shared" si="6"/>
        <v>1690000</v>
      </c>
      <c r="I102" s="2" t="s">
        <v>13</v>
      </c>
      <c r="J102" s="2" t="s">
        <v>14</v>
      </c>
      <c r="K102" t="str">
        <f t="shared" si="7"/>
        <v>July</v>
      </c>
      <c r="M102" t="b">
        <f t="shared" si="8"/>
        <v>1</v>
      </c>
      <c r="N102" s="12">
        <f t="shared" si="9"/>
        <v>130000</v>
      </c>
      <c r="O102" s="12" t="b">
        <f t="shared" si="10"/>
        <v>1</v>
      </c>
      <c r="P102" t="b">
        <f t="shared" si="11"/>
        <v>1</v>
      </c>
    </row>
    <row r="103" spans="1:16" ht="15" customHeight="1" x14ac:dyDescent="0.3">
      <c r="A103" s="2" t="s">
        <v>183</v>
      </c>
      <c r="B103" s="13">
        <v>45859</v>
      </c>
      <c r="C103" s="8" t="s">
        <v>45</v>
      </c>
      <c r="D103" s="2" t="s">
        <v>55</v>
      </c>
      <c r="E103" s="2" t="s">
        <v>92</v>
      </c>
      <c r="F103" s="2">
        <v>11</v>
      </c>
      <c r="G103" s="3">
        <v>83000</v>
      </c>
      <c r="H103" s="3">
        <f t="shared" si="6"/>
        <v>913000</v>
      </c>
      <c r="I103" s="2" t="s">
        <v>37</v>
      </c>
      <c r="J103" s="2" t="s">
        <v>14</v>
      </c>
      <c r="K103" t="str">
        <f t="shared" si="7"/>
        <v>July</v>
      </c>
      <c r="M103" t="b">
        <f t="shared" si="8"/>
        <v>1</v>
      </c>
      <c r="N103" s="12">
        <f t="shared" si="9"/>
        <v>83000</v>
      </c>
      <c r="O103" s="12" t="b">
        <f t="shared" si="10"/>
        <v>1</v>
      </c>
      <c r="P103" t="b">
        <f t="shared" si="11"/>
        <v>1</v>
      </c>
    </row>
    <row r="104" spans="1:16" ht="15" customHeight="1" x14ac:dyDescent="0.3">
      <c r="A104" s="2" t="s">
        <v>214</v>
      </c>
      <c r="B104" s="13">
        <v>45860</v>
      </c>
      <c r="C104" s="8" t="s">
        <v>80</v>
      </c>
      <c r="D104" s="2" t="s">
        <v>31</v>
      </c>
      <c r="E104" s="2" t="s">
        <v>32</v>
      </c>
      <c r="F104" s="2">
        <v>2</v>
      </c>
      <c r="G104" s="3">
        <v>65000</v>
      </c>
      <c r="H104" s="3">
        <f t="shared" si="6"/>
        <v>130000</v>
      </c>
      <c r="I104" s="2" t="s">
        <v>19</v>
      </c>
      <c r="J104" s="2" t="s">
        <v>23</v>
      </c>
      <c r="K104" t="str">
        <f t="shared" si="7"/>
        <v>July</v>
      </c>
      <c r="M104" t="b">
        <f t="shared" si="8"/>
        <v>1</v>
      </c>
      <c r="N104" s="12">
        <f t="shared" si="9"/>
        <v>65000</v>
      </c>
      <c r="O104" s="12" t="b">
        <f t="shared" si="10"/>
        <v>1</v>
      </c>
      <c r="P104" t="b">
        <f t="shared" si="11"/>
        <v>1</v>
      </c>
    </row>
    <row r="105" spans="1:16" ht="15" customHeight="1" x14ac:dyDescent="0.3">
      <c r="A105" s="2" t="s">
        <v>233</v>
      </c>
      <c r="B105" s="13">
        <v>45865</v>
      </c>
      <c r="C105" s="8" t="s">
        <v>35</v>
      </c>
      <c r="D105" s="2" t="s">
        <v>48</v>
      </c>
      <c r="E105" s="2" t="s">
        <v>89</v>
      </c>
      <c r="F105" s="2">
        <v>3</v>
      </c>
      <c r="G105" s="3">
        <v>91000</v>
      </c>
      <c r="H105" s="3">
        <f t="shared" si="6"/>
        <v>273000</v>
      </c>
      <c r="I105" s="2" t="s">
        <v>19</v>
      </c>
      <c r="J105" s="2" t="s">
        <v>59</v>
      </c>
      <c r="K105" t="str">
        <f t="shared" si="7"/>
        <v>July</v>
      </c>
      <c r="M105" t="b">
        <f t="shared" si="8"/>
        <v>1</v>
      </c>
      <c r="N105" s="12">
        <f t="shared" si="9"/>
        <v>91000</v>
      </c>
      <c r="O105" s="12" t="b">
        <f t="shared" si="10"/>
        <v>1</v>
      </c>
      <c r="P105" t="b">
        <f t="shared" si="11"/>
        <v>1</v>
      </c>
    </row>
    <row r="106" spans="1:16" ht="15" customHeight="1" x14ac:dyDescent="0.3">
      <c r="A106" s="2" t="s">
        <v>158</v>
      </c>
      <c r="B106" s="13">
        <v>45869</v>
      </c>
      <c r="C106" s="8" t="s">
        <v>21</v>
      </c>
      <c r="D106" s="2" t="s">
        <v>17</v>
      </c>
      <c r="E106" s="2" t="s">
        <v>18</v>
      </c>
      <c r="F106" s="2">
        <v>24</v>
      </c>
      <c r="G106" s="3">
        <v>37000</v>
      </c>
      <c r="H106" s="3">
        <f t="shared" si="6"/>
        <v>888000</v>
      </c>
      <c r="I106" s="2" t="s">
        <v>26</v>
      </c>
      <c r="J106" s="2" t="s">
        <v>14</v>
      </c>
      <c r="K106" t="str">
        <f t="shared" si="7"/>
        <v>July</v>
      </c>
      <c r="M106" t="b">
        <f t="shared" si="8"/>
        <v>1</v>
      </c>
      <c r="N106" s="12">
        <f t="shared" si="9"/>
        <v>37000</v>
      </c>
      <c r="O106" s="12" t="b">
        <f t="shared" si="10"/>
        <v>1</v>
      </c>
      <c r="P106" t="b">
        <f t="shared" si="11"/>
        <v>1</v>
      </c>
    </row>
    <row r="107" spans="1:16" ht="15" customHeight="1" x14ac:dyDescent="0.3">
      <c r="A107" s="2" t="s">
        <v>270</v>
      </c>
      <c r="B107" s="13">
        <v>45870</v>
      </c>
      <c r="C107" s="8" t="s">
        <v>42</v>
      </c>
      <c r="D107" s="2" t="s">
        <v>31</v>
      </c>
      <c r="E107" s="2" t="s">
        <v>36</v>
      </c>
      <c r="F107" s="2">
        <v>18</v>
      </c>
      <c r="G107" s="3">
        <v>180000</v>
      </c>
      <c r="H107" s="3">
        <f t="shared" si="6"/>
        <v>3240000</v>
      </c>
      <c r="I107" s="2" t="s">
        <v>26</v>
      </c>
      <c r="J107" s="2" t="s">
        <v>14</v>
      </c>
      <c r="K107" t="str">
        <f t="shared" si="7"/>
        <v>August</v>
      </c>
      <c r="M107" t="b">
        <f t="shared" si="8"/>
        <v>1</v>
      </c>
      <c r="N107" s="12">
        <f t="shared" si="9"/>
        <v>180000</v>
      </c>
      <c r="O107" s="12" t="b">
        <f t="shared" si="10"/>
        <v>1</v>
      </c>
      <c r="P107" t="b">
        <f t="shared" si="11"/>
        <v>1</v>
      </c>
    </row>
    <row r="108" spans="1:16" ht="15" customHeight="1" x14ac:dyDescent="0.3">
      <c r="A108" s="2" t="s">
        <v>74</v>
      </c>
      <c r="B108" s="13">
        <v>45871</v>
      </c>
      <c r="C108" s="8" t="s">
        <v>42</v>
      </c>
      <c r="D108" s="2" t="s">
        <v>11</v>
      </c>
      <c r="E108" s="2" t="s">
        <v>75</v>
      </c>
      <c r="F108" s="2">
        <v>12</v>
      </c>
      <c r="G108" s="3">
        <v>52000</v>
      </c>
      <c r="H108" s="3">
        <f t="shared" si="6"/>
        <v>624000</v>
      </c>
      <c r="I108" s="2" t="s">
        <v>37</v>
      </c>
      <c r="J108" s="2" t="s">
        <v>14</v>
      </c>
      <c r="K108" t="str">
        <f t="shared" si="7"/>
        <v>August</v>
      </c>
      <c r="M108" t="b">
        <f t="shared" si="8"/>
        <v>1</v>
      </c>
      <c r="N108" s="12">
        <f t="shared" si="9"/>
        <v>52000</v>
      </c>
      <c r="O108" s="12" t="b">
        <f t="shared" si="10"/>
        <v>1</v>
      </c>
      <c r="P108" t="b">
        <f t="shared" si="11"/>
        <v>1</v>
      </c>
    </row>
    <row r="109" spans="1:16" ht="15" customHeight="1" x14ac:dyDescent="0.3">
      <c r="A109" s="2" t="s">
        <v>232</v>
      </c>
      <c r="B109" s="13">
        <v>45874</v>
      </c>
      <c r="C109" s="8" t="s">
        <v>64</v>
      </c>
      <c r="D109" s="2" t="s">
        <v>11</v>
      </c>
      <c r="E109" s="2" t="s">
        <v>29</v>
      </c>
      <c r="F109" s="2">
        <v>7</v>
      </c>
      <c r="G109" s="3">
        <v>94000</v>
      </c>
      <c r="H109" s="3">
        <f t="shared" si="6"/>
        <v>658000</v>
      </c>
      <c r="I109" s="2" t="s">
        <v>26</v>
      </c>
      <c r="J109" s="2" t="s">
        <v>23</v>
      </c>
      <c r="K109" t="str">
        <f t="shared" si="7"/>
        <v>August</v>
      </c>
      <c r="M109" t="b">
        <f t="shared" si="8"/>
        <v>1</v>
      </c>
      <c r="N109" s="12">
        <f t="shared" si="9"/>
        <v>94000</v>
      </c>
      <c r="O109" s="12" t="b">
        <f t="shared" si="10"/>
        <v>1</v>
      </c>
      <c r="P109" t="b">
        <f t="shared" si="11"/>
        <v>1</v>
      </c>
    </row>
    <row r="110" spans="1:16" ht="15" customHeight="1" x14ac:dyDescent="0.3">
      <c r="A110" s="2" t="s">
        <v>54</v>
      </c>
      <c r="B110" s="13">
        <v>45874</v>
      </c>
      <c r="C110" s="8" t="s">
        <v>42</v>
      </c>
      <c r="D110" s="2" t="s">
        <v>55</v>
      </c>
      <c r="E110" s="2" t="s">
        <v>56</v>
      </c>
      <c r="F110" s="2">
        <v>8</v>
      </c>
      <c r="G110" s="3">
        <v>118000</v>
      </c>
      <c r="H110" s="3">
        <f t="shared" si="6"/>
        <v>944000</v>
      </c>
      <c r="I110" s="2" t="s">
        <v>13</v>
      </c>
      <c r="J110" s="2" t="s">
        <v>23</v>
      </c>
      <c r="K110" t="str">
        <f t="shared" si="7"/>
        <v>August</v>
      </c>
      <c r="M110" t="b">
        <f t="shared" si="8"/>
        <v>1</v>
      </c>
      <c r="N110" s="12">
        <f t="shared" si="9"/>
        <v>118000</v>
      </c>
      <c r="O110" s="12" t="b">
        <f t="shared" si="10"/>
        <v>1</v>
      </c>
      <c r="P110" t="b">
        <f t="shared" si="11"/>
        <v>1</v>
      </c>
    </row>
    <row r="111" spans="1:16" ht="15" customHeight="1" x14ac:dyDescent="0.3">
      <c r="A111" s="2" t="s">
        <v>132</v>
      </c>
      <c r="B111" s="13">
        <v>45876</v>
      </c>
      <c r="C111" s="8" t="s">
        <v>42</v>
      </c>
      <c r="D111" s="2" t="s">
        <v>17</v>
      </c>
      <c r="E111" s="2" t="s">
        <v>46</v>
      </c>
      <c r="F111" s="2">
        <v>15</v>
      </c>
      <c r="G111" s="3">
        <v>75000</v>
      </c>
      <c r="H111" s="3">
        <f t="shared" si="6"/>
        <v>1125000</v>
      </c>
      <c r="I111" s="2" t="s">
        <v>13</v>
      </c>
      <c r="J111" s="2" t="s">
        <v>14</v>
      </c>
      <c r="K111" t="str">
        <f t="shared" si="7"/>
        <v>August</v>
      </c>
      <c r="M111" t="b">
        <f t="shared" si="8"/>
        <v>1</v>
      </c>
      <c r="N111" s="12">
        <f t="shared" si="9"/>
        <v>75000</v>
      </c>
      <c r="O111" s="12" t="b">
        <f t="shared" si="10"/>
        <v>1</v>
      </c>
      <c r="P111" t="b">
        <f t="shared" si="11"/>
        <v>1</v>
      </c>
    </row>
    <row r="112" spans="1:16" ht="15" customHeight="1" x14ac:dyDescent="0.3">
      <c r="A112" s="2" t="s">
        <v>221</v>
      </c>
      <c r="B112" s="13">
        <v>45877</v>
      </c>
      <c r="C112" s="8" t="s">
        <v>80</v>
      </c>
      <c r="D112" s="2" t="s">
        <v>11</v>
      </c>
      <c r="E112" s="2" t="s">
        <v>75</v>
      </c>
      <c r="F112" s="2">
        <v>21</v>
      </c>
      <c r="G112" s="3">
        <v>122000</v>
      </c>
      <c r="H112" s="3">
        <f t="shared" si="6"/>
        <v>2562000</v>
      </c>
      <c r="I112" s="2" t="s">
        <v>33</v>
      </c>
      <c r="J112" s="2" t="s">
        <v>59</v>
      </c>
      <c r="K112" t="str">
        <f t="shared" si="7"/>
        <v>August</v>
      </c>
      <c r="M112" t="b">
        <f t="shared" si="8"/>
        <v>1</v>
      </c>
      <c r="N112" s="12">
        <f t="shared" si="9"/>
        <v>122000</v>
      </c>
      <c r="O112" s="12" t="b">
        <f t="shared" si="10"/>
        <v>1</v>
      </c>
      <c r="P112" t="b">
        <f t="shared" si="11"/>
        <v>1</v>
      </c>
    </row>
    <row r="113" spans="1:16" ht="15" customHeight="1" x14ac:dyDescent="0.3">
      <c r="A113" s="2" t="s">
        <v>252</v>
      </c>
      <c r="B113" s="13">
        <v>45877</v>
      </c>
      <c r="C113" s="8" t="s">
        <v>42</v>
      </c>
      <c r="D113" s="2" t="s">
        <v>17</v>
      </c>
      <c r="E113" s="2" t="s">
        <v>22</v>
      </c>
      <c r="F113" s="2">
        <v>2</v>
      </c>
      <c r="G113" s="3">
        <v>47000</v>
      </c>
      <c r="H113" s="3">
        <f t="shared" si="6"/>
        <v>94000</v>
      </c>
      <c r="I113" s="2" t="s">
        <v>19</v>
      </c>
      <c r="J113" s="2" t="s">
        <v>14</v>
      </c>
      <c r="K113" t="str">
        <f t="shared" si="7"/>
        <v>August</v>
      </c>
      <c r="M113" t="b">
        <f t="shared" si="8"/>
        <v>1</v>
      </c>
      <c r="N113" s="12">
        <f t="shared" si="9"/>
        <v>47000</v>
      </c>
      <c r="O113" s="12" t="b">
        <f t="shared" si="10"/>
        <v>1</v>
      </c>
      <c r="P113" t="b">
        <f t="shared" si="11"/>
        <v>1</v>
      </c>
    </row>
    <row r="114" spans="1:16" ht="15" customHeight="1" x14ac:dyDescent="0.3">
      <c r="A114" s="2" t="s">
        <v>179</v>
      </c>
      <c r="B114" s="13">
        <v>45878</v>
      </c>
      <c r="C114" s="8" t="s">
        <v>28</v>
      </c>
      <c r="D114" s="2" t="s">
        <v>55</v>
      </c>
      <c r="E114" s="2" t="s">
        <v>92</v>
      </c>
      <c r="F114" s="2">
        <v>16</v>
      </c>
      <c r="G114" s="3">
        <v>20000</v>
      </c>
      <c r="H114" s="3">
        <f t="shared" si="6"/>
        <v>320000</v>
      </c>
      <c r="I114" s="2" t="s">
        <v>37</v>
      </c>
      <c r="J114" s="2" t="s">
        <v>14</v>
      </c>
      <c r="K114" t="str">
        <f t="shared" si="7"/>
        <v>August</v>
      </c>
      <c r="M114" t="b">
        <f t="shared" si="8"/>
        <v>1</v>
      </c>
      <c r="N114" s="12">
        <f t="shared" si="9"/>
        <v>20000</v>
      </c>
      <c r="O114" s="12" t="b">
        <f t="shared" si="10"/>
        <v>1</v>
      </c>
      <c r="P114" t="b">
        <f t="shared" si="11"/>
        <v>1</v>
      </c>
    </row>
    <row r="115" spans="1:16" ht="15" customHeight="1" x14ac:dyDescent="0.3">
      <c r="A115" s="2" t="s">
        <v>230</v>
      </c>
      <c r="B115" s="13">
        <v>45878</v>
      </c>
      <c r="C115" s="8" t="s">
        <v>28</v>
      </c>
      <c r="D115" s="2" t="s">
        <v>11</v>
      </c>
      <c r="E115" s="2" t="s">
        <v>12</v>
      </c>
      <c r="F115" s="2">
        <v>21</v>
      </c>
      <c r="G115" s="3">
        <v>231000</v>
      </c>
      <c r="H115" s="3">
        <f t="shared" si="6"/>
        <v>4851000</v>
      </c>
      <c r="I115" s="2" t="s">
        <v>26</v>
      </c>
      <c r="J115" s="2" t="s">
        <v>14</v>
      </c>
      <c r="K115" t="str">
        <f t="shared" si="7"/>
        <v>August</v>
      </c>
      <c r="M115" t="b">
        <f t="shared" si="8"/>
        <v>1</v>
      </c>
      <c r="N115" s="12">
        <f t="shared" si="9"/>
        <v>231000</v>
      </c>
      <c r="O115" s="12" t="b">
        <f t="shared" si="10"/>
        <v>1</v>
      </c>
      <c r="P115" t="b">
        <f t="shared" si="11"/>
        <v>1</v>
      </c>
    </row>
    <row r="116" spans="1:16" ht="15" customHeight="1" x14ac:dyDescent="0.3">
      <c r="A116" s="2" t="s">
        <v>105</v>
      </c>
      <c r="B116" s="13">
        <v>45880</v>
      </c>
      <c r="C116" s="8" t="s">
        <v>80</v>
      </c>
      <c r="D116" s="2" t="s">
        <v>55</v>
      </c>
      <c r="E116" s="2" t="s">
        <v>56</v>
      </c>
      <c r="F116" s="2">
        <v>20</v>
      </c>
      <c r="G116" s="3">
        <v>64000</v>
      </c>
      <c r="H116" s="3">
        <f t="shared" si="6"/>
        <v>1280000</v>
      </c>
      <c r="I116" s="2" t="s">
        <v>19</v>
      </c>
      <c r="J116" s="2" t="s">
        <v>14</v>
      </c>
      <c r="K116" t="str">
        <f t="shared" si="7"/>
        <v>August</v>
      </c>
      <c r="M116" t="b">
        <f t="shared" si="8"/>
        <v>1</v>
      </c>
      <c r="N116" s="12">
        <f t="shared" si="9"/>
        <v>64000</v>
      </c>
      <c r="O116" s="12" t="b">
        <f t="shared" si="10"/>
        <v>1</v>
      </c>
      <c r="P116" t="b">
        <f t="shared" si="11"/>
        <v>1</v>
      </c>
    </row>
    <row r="117" spans="1:16" ht="15" customHeight="1" x14ac:dyDescent="0.3">
      <c r="A117" s="2" t="s">
        <v>155</v>
      </c>
      <c r="B117" s="13">
        <v>45881</v>
      </c>
      <c r="C117" s="8" t="s">
        <v>64</v>
      </c>
      <c r="D117" s="2" t="s">
        <v>48</v>
      </c>
      <c r="E117" s="2" t="s">
        <v>66</v>
      </c>
      <c r="F117" s="2">
        <v>12</v>
      </c>
      <c r="G117" s="3">
        <v>109000</v>
      </c>
      <c r="H117" s="3">
        <f t="shared" si="6"/>
        <v>1308000</v>
      </c>
      <c r="I117" s="2" t="s">
        <v>19</v>
      </c>
      <c r="J117" s="2" t="s">
        <v>23</v>
      </c>
      <c r="K117" t="str">
        <f t="shared" si="7"/>
        <v>August</v>
      </c>
      <c r="M117" t="b">
        <f t="shared" si="8"/>
        <v>1</v>
      </c>
      <c r="N117" s="12">
        <f t="shared" si="9"/>
        <v>109000</v>
      </c>
      <c r="O117" s="12" t="b">
        <f t="shared" si="10"/>
        <v>1</v>
      </c>
      <c r="P117" t="b">
        <f t="shared" si="11"/>
        <v>1</v>
      </c>
    </row>
    <row r="118" spans="1:16" ht="15" customHeight="1" x14ac:dyDescent="0.3">
      <c r="A118" s="2" t="s">
        <v>166</v>
      </c>
      <c r="B118" s="13">
        <v>45882</v>
      </c>
      <c r="C118" s="8" t="s">
        <v>64</v>
      </c>
      <c r="D118" s="2" t="s">
        <v>31</v>
      </c>
      <c r="E118" s="2" t="s">
        <v>84</v>
      </c>
      <c r="F118" s="2">
        <v>8</v>
      </c>
      <c r="G118" s="3">
        <v>138000</v>
      </c>
      <c r="H118" s="3">
        <f t="shared" si="6"/>
        <v>1104000</v>
      </c>
      <c r="I118" s="2" t="s">
        <v>13</v>
      </c>
      <c r="J118" s="2" t="s">
        <v>23</v>
      </c>
      <c r="K118" t="str">
        <f t="shared" si="7"/>
        <v>August</v>
      </c>
      <c r="M118" t="b">
        <f t="shared" si="8"/>
        <v>1</v>
      </c>
      <c r="N118" s="12">
        <f t="shared" si="9"/>
        <v>138000</v>
      </c>
      <c r="O118" s="12" t="b">
        <f t="shared" si="10"/>
        <v>1</v>
      </c>
      <c r="P118" t="b">
        <f t="shared" si="11"/>
        <v>1</v>
      </c>
    </row>
    <row r="119" spans="1:16" ht="15" customHeight="1" x14ac:dyDescent="0.3">
      <c r="A119" s="2" t="s">
        <v>269</v>
      </c>
      <c r="B119" s="13">
        <v>45883</v>
      </c>
      <c r="C119" s="8" t="s">
        <v>28</v>
      </c>
      <c r="D119" s="2" t="s">
        <v>48</v>
      </c>
      <c r="E119" s="2" t="s">
        <v>77</v>
      </c>
      <c r="F119" s="2">
        <v>1</v>
      </c>
      <c r="G119" s="3">
        <v>39000</v>
      </c>
      <c r="H119" s="3">
        <f t="shared" si="6"/>
        <v>39000</v>
      </c>
      <c r="I119" s="2" t="s">
        <v>33</v>
      </c>
      <c r="J119" s="2" t="s">
        <v>23</v>
      </c>
      <c r="K119" t="str">
        <f t="shared" si="7"/>
        <v>August</v>
      </c>
      <c r="M119" t="b">
        <f t="shared" si="8"/>
        <v>1</v>
      </c>
      <c r="N119" s="12">
        <f t="shared" si="9"/>
        <v>39000</v>
      </c>
      <c r="O119" s="12" t="b">
        <f t="shared" si="10"/>
        <v>1</v>
      </c>
      <c r="P119" t="b">
        <f t="shared" si="11"/>
        <v>1</v>
      </c>
    </row>
    <row r="120" spans="1:16" ht="15" customHeight="1" x14ac:dyDescent="0.3">
      <c r="A120" s="2" t="s">
        <v>109</v>
      </c>
      <c r="B120" s="13">
        <v>45885</v>
      </c>
      <c r="C120" s="8" t="s">
        <v>28</v>
      </c>
      <c r="D120" s="2" t="s">
        <v>55</v>
      </c>
      <c r="E120" s="2" t="s">
        <v>97</v>
      </c>
      <c r="F120" s="2">
        <v>23</v>
      </c>
      <c r="G120" s="3">
        <v>53000</v>
      </c>
      <c r="H120" s="3">
        <f t="shared" si="6"/>
        <v>1219000</v>
      </c>
      <c r="I120" s="2" t="s">
        <v>26</v>
      </c>
      <c r="J120" s="2" t="s">
        <v>23</v>
      </c>
      <c r="K120" t="str">
        <f t="shared" si="7"/>
        <v>August</v>
      </c>
      <c r="M120" t="b">
        <f t="shared" si="8"/>
        <v>1</v>
      </c>
      <c r="N120" s="12">
        <f t="shared" si="9"/>
        <v>53000</v>
      </c>
      <c r="O120" s="12" t="b">
        <f t="shared" si="10"/>
        <v>1</v>
      </c>
      <c r="P120" t="b">
        <f t="shared" si="11"/>
        <v>1</v>
      </c>
    </row>
    <row r="121" spans="1:16" ht="15" customHeight="1" x14ac:dyDescent="0.3">
      <c r="A121" s="2" t="s">
        <v>163</v>
      </c>
      <c r="B121" s="13">
        <v>45887</v>
      </c>
      <c r="C121" s="9" t="s">
        <v>277</v>
      </c>
      <c r="D121" s="2" t="s">
        <v>48</v>
      </c>
      <c r="E121" s="2" t="s">
        <v>66</v>
      </c>
      <c r="F121" s="2">
        <v>10</v>
      </c>
      <c r="G121" s="3">
        <v>116000</v>
      </c>
      <c r="H121" s="3">
        <f t="shared" si="6"/>
        <v>1160000</v>
      </c>
      <c r="I121" s="2" t="s">
        <v>37</v>
      </c>
      <c r="J121" s="2" t="s">
        <v>59</v>
      </c>
      <c r="K121" t="str">
        <f t="shared" si="7"/>
        <v>August</v>
      </c>
      <c r="M121" t="b">
        <f t="shared" si="8"/>
        <v>1</v>
      </c>
      <c r="N121" s="12">
        <f t="shared" si="9"/>
        <v>116000</v>
      </c>
      <c r="O121" s="12" t="b">
        <f t="shared" si="10"/>
        <v>1</v>
      </c>
      <c r="P121" t="b">
        <f t="shared" si="11"/>
        <v>1</v>
      </c>
    </row>
    <row r="122" spans="1:16" ht="15" customHeight="1" x14ac:dyDescent="0.3">
      <c r="A122" s="2" t="s">
        <v>130</v>
      </c>
      <c r="B122" s="13">
        <v>45888</v>
      </c>
      <c r="C122" s="8" t="s">
        <v>51</v>
      </c>
      <c r="D122" s="2" t="s">
        <v>55</v>
      </c>
      <c r="E122" s="2" t="s">
        <v>92</v>
      </c>
      <c r="F122" s="2">
        <v>22</v>
      </c>
      <c r="G122" s="3">
        <v>31000</v>
      </c>
      <c r="H122" s="3">
        <f t="shared" si="6"/>
        <v>682000</v>
      </c>
      <c r="I122" s="2" t="s">
        <v>19</v>
      </c>
      <c r="J122" s="2" t="s">
        <v>23</v>
      </c>
      <c r="K122" t="str">
        <f t="shared" si="7"/>
        <v>August</v>
      </c>
      <c r="M122" t="b">
        <f t="shared" si="8"/>
        <v>1</v>
      </c>
      <c r="N122" s="12">
        <f t="shared" si="9"/>
        <v>31000</v>
      </c>
      <c r="O122" s="12" t="b">
        <f t="shared" si="10"/>
        <v>1</v>
      </c>
      <c r="P122" t="b">
        <f t="shared" si="11"/>
        <v>1</v>
      </c>
    </row>
    <row r="123" spans="1:16" ht="15" customHeight="1" x14ac:dyDescent="0.3">
      <c r="A123" s="2" t="s">
        <v>112</v>
      </c>
      <c r="B123" s="13">
        <v>45890</v>
      </c>
      <c r="C123" s="8" t="s">
        <v>64</v>
      </c>
      <c r="D123" s="2" t="s">
        <v>55</v>
      </c>
      <c r="E123" s="2" t="s">
        <v>92</v>
      </c>
      <c r="F123" s="2">
        <v>25</v>
      </c>
      <c r="G123" s="3">
        <v>28000</v>
      </c>
      <c r="H123" s="3">
        <f t="shared" si="6"/>
        <v>700000</v>
      </c>
      <c r="I123" s="2" t="s">
        <v>37</v>
      </c>
      <c r="J123" s="2" t="s">
        <v>23</v>
      </c>
      <c r="K123" t="str">
        <f t="shared" si="7"/>
        <v>August</v>
      </c>
      <c r="M123" t="b">
        <f t="shared" si="8"/>
        <v>1</v>
      </c>
      <c r="N123" s="12">
        <f t="shared" si="9"/>
        <v>28000</v>
      </c>
      <c r="O123" s="12" t="b">
        <f t="shared" si="10"/>
        <v>1</v>
      </c>
      <c r="P123" t="b">
        <f t="shared" si="11"/>
        <v>1</v>
      </c>
    </row>
    <row r="124" spans="1:16" ht="15" customHeight="1" x14ac:dyDescent="0.3">
      <c r="A124" s="2" t="s">
        <v>202</v>
      </c>
      <c r="B124" s="13">
        <v>45890</v>
      </c>
      <c r="C124" s="8" t="s">
        <v>35</v>
      </c>
      <c r="D124" s="2" t="s">
        <v>17</v>
      </c>
      <c r="E124" s="2" t="s">
        <v>53</v>
      </c>
      <c r="F124" s="2">
        <v>11</v>
      </c>
      <c r="G124" s="3">
        <v>52000</v>
      </c>
      <c r="H124" s="3">
        <f t="shared" si="6"/>
        <v>572000</v>
      </c>
      <c r="I124" s="2" t="s">
        <v>26</v>
      </c>
      <c r="J124" s="2" t="s">
        <v>23</v>
      </c>
      <c r="K124" t="str">
        <f t="shared" si="7"/>
        <v>August</v>
      </c>
      <c r="M124" t="b">
        <f t="shared" si="8"/>
        <v>1</v>
      </c>
      <c r="N124" s="12">
        <f t="shared" si="9"/>
        <v>52000</v>
      </c>
      <c r="O124" s="12" t="b">
        <f t="shared" si="10"/>
        <v>1</v>
      </c>
      <c r="P124" t="b">
        <f t="shared" si="11"/>
        <v>1</v>
      </c>
    </row>
    <row r="125" spans="1:16" ht="15" customHeight="1" x14ac:dyDescent="0.3">
      <c r="A125" s="2" t="s">
        <v>123</v>
      </c>
      <c r="B125" s="13">
        <v>45891</v>
      </c>
      <c r="C125" s="8" t="s">
        <v>16</v>
      </c>
      <c r="D125" s="2" t="s">
        <v>31</v>
      </c>
      <c r="E125" s="2" t="s">
        <v>121</v>
      </c>
      <c r="F125" s="2">
        <v>16</v>
      </c>
      <c r="G125" s="3">
        <v>105000</v>
      </c>
      <c r="H125" s="3">
        <f t="shared" si="6"/>
        <v>1680000</v>
      </c>
      <c r="I125" s="2" t="s">
        <v>37</v>
      </c>
      <c r="J125" s="2" t="s">
        <v>14</v>
      </c>
      <c r="K125" t="str">
        <f t="shared" si="7"/>
        <v>August</v>
      </c>
      <c r="M125" t="b">
        <f t="shared" si="8"/>
        <v>1</v>
      </c>
      <c r="N125" s="12">
        <f t="shared" si="9"/>
        <v>105000</v>
      </c>
      <c r="O125" s="12" t="b">
        <f t="shared" si="10"/>
        <v>1</v>
      </c>
      <c r="P125" t="b">
        <f t="shared" si="11"/>
        <v>1</v>
      </c>
    </row>
    <row r="126" spans="1:16" ht="15" customHeight="1" x14ac:dyDescent="0.3">
      <c r="A126" s="2" t="s">
        <v>207</v>
      </c>
      <c r="B126" s="13">
        <v>45892</v>
      </c>
      <c r="C126" s="8" t="s">
        <v>16</v>
      </c>
      <c r="D126" s="2" t="s">
        <v>31</v>
      </c>
      <c r="E126" s="2" t="s">
        <v>84</v>
      </c>
      <c r="F126" s="2">
        <v>24</v>
      </c>
      <c r="G126" s="3">
        <v>120000</v>
      </c>
      <c r="H126" s="3">
        <f t="shared" si="6"/>
        <v>2880000</v>
      </c>
      <c r="I126" s="2" t="s">
        <v>37</v>
      </c>
      <c r="J126" s="2" t="s">
        <v>23</v>
      </c>
      <c r="K126" t="str">
        <f t="shared" si="7"/>
        <v>August</v>
      </c>
      <c r="M126" t="b">
        <f t="shared" si="8"/>
        <v>1</v>
      </c>
      <c r="N126" s="12">
        <f t="shared" si="9"/>
        <v>120000</v>
      </c>
      <c r="O126" s="12" t="b">
        <f t="shared" si="10"/>
        <v>1</v>
      </c>
      <c r="P126" t="b">
        <f t="shared" si="11"/>
        <v>1</v>
      </c>
    </row>
    <row r="127" spans="1:16" ht="15" customHeight="1" x14ac:dyDescent="0.3">
      <c r="A127" s="2" t="s">
        <v>113</v>
      </c>
      <c r="B127" s="13">
        <v>45893</v>
      </c>
      <c r="C127" s="8" t="s">
        <v>28</v>
      </c>
      <c r="D127" s="2" t="s">
        <v>55</v>
      </c>
      <c r="E127" s="2" t="s">
        <v>92</v>
      </c>
      <c r="F127" s="2">
        <v>14</v>
      </c>
      <c r="G127" s="3">
        <v>105000</v>
      </c>
      <c r="H127" s="3">
        <f t="shared" si="6"/>
        <v>1470000</v>
      </c>
      <c r="I127" s="2" t="s">
        <v>13</v>
      </c>
      <c r="J127" s="2" t="s">
        <v>14</v>
      </c>
      <c r="K127" t="str">
        <f t="shared" si="7"/>
        <v>August</v>
      </c>
      <c r="M127" t="b">
        <f t="shared" si="8"/>
        <v>1</v>
      </c>
      <c r="N127" s="12">
        <f t="shared" si="9"/>
        <v>105000</v>
      </c>
      <c r="O127" s="12" t="b">
        <f t="shared" si="10"/>
        <v>1</v>
      </c>
      <c r="P127" t="b">
        <f t="shared" si="11"/>
        <v>1</v>
      </c>
    </row>
    <row r="128" spans="1:16" ht="15" customHeight="1" x14ac:dyDescent="0.3">
      <c r="A128" s="2" t="s">
        <v>15</v>
      </c>
      <c r="B128" s="13">
        <v>45894</v>
      </c>
      <c r="C128" s="8" t="s">
        <v>16</v>
      </c>
      <c r="D128" s="2" t="s">
        <v>17</v>
      </c>
      <c r="E128" s="2" t="s">
        <v>18</v>
      </c>
      <c r="F128" s="2">
        <v>6</v>
      </c>
      <c r="G128" s="3">
        <v>37000</v>
      </c>
      <c r="H128" s="3">
        <f t="shared" si="6"/>
        <v>222000</v>
      </c>
      <c r="I128" s="2" t="s">
        <v>19</v>
      </c>
      <c r="J128" s="2" t="s">
        <v>14</v>
      </c>
      <c r="K128" t="str">
        <f t="shared" si="7"/>
        <v>August</v>
      </c>
      <c r="M128" t="b">
        <f t="shared" si="8"/>
        <v>1</v>
      </c>
      <c r="N128" s="12">
        <f t="shared" si="9"/>
        <v>37000</v>
      </c>
      <c r="O128" s="12" t="b">
        <f t="shared" si="10"/>
        <v>1</v>
      </c>
      <c r="P128" t="b">
        <f t="shared" si="11"/>
        <v>1</v>
      </c>
    </row>
    <row r="129" spans="1:16" ht="15" customHeight="1" x14ac:dyDescent="0.3">
      <c r="A129" s="2" t="s">
        <v>65</v>
      </c>
      <c r="B129" s="13">
        <v>45896</v>
      </c>
      <c r="C129" s="8" t="s">
        <v>16</v>
      </c>
      <c r="D129" s="2" t="s">
        <v>48</v>
      </c>
      <c r="E129" s="2" t="s">
        <v>66</v>
      </c>
      <c r="F129" s="2">
        <v>3</v>
      </c>
      <c r="G129" s="3">
        <v>111000</v>
      </c>
      <c r="H129" s="3">
        <f t="shared" si="6"/>
        <v>333000</v>
      </c>
      <c r="I129" s="2" t="s">
        <v>33</v>
      </c>
      <c r="J129" s="2" t="s">
        <v>23</v>
      </c>
      <c r="K129" t="str">
        <f t="shared" si="7"/>
        <v>August</v>
      </c>
      <c r="M129" t="b">
        <f t="shared" si="8"/>
        <v>1</v>
      </c>
      <c r="N129" s="12">
        <f t="shared" si="9"/>
        <v>111000</v>
      </c>
      <c r="O129" s="12" t="b">
        <f t="shared" si="10"/>
        <v>1</v>
      </c>
      <c r="P129" t="b">
        <f t="shared" si="11"/>
        <v>1</v>
      </c>
    </row>
    <row r="130" spans="1:16" ht="15" customHeight="1" x14ac:dyDescent="0.3">
      <c r="A130" s="2" t="s">
        <v>94</v>
      </c>
      <c r="B130" s="13">
        <v>45896</v>
      </c>
      <c r="C130" s="8" t="s">
        <v>35</v>
      </c>
      <c r="D130" s="2" t="s">
        <v>48</v>
      </c>
      <c r="E130" s="2" t="s">
        <v>89</v>
      </c>
      <c r="F130" s="2">
        <v>11</v>
      </c>
      <c r="G130" s="3">
        <v>61000</v>
      </c>
      <c r="H130" s="3">
        <f t="shared" ref="H130:H193" si="12">F130*G130</f>
        <v>671000</v>
      </c>
      <c r="I130" s="2" t="s">
        <v>33</v>
      </c>
      <c r="J130" s="2" t="s">
        <v>14</v>
      </c>
      <c r="K130" t="str">
        <f t="shared" ref="K130:K193" si="13">TEXT(B130,"MMMM")</f>
        <v>August</v>
      </c>
      <c r="M130" t="b">
        <f t="shared" si="8"/>
        <v>1</v>
      </c>
      <c r="N130" s="12">
        <f t="shared" si="9"/>
        <v>61000</v>
      </c>
      <c r="O130" s="12" t="b">
        <f t="shared" si="10"/>
        <v>1</v>
      </c>
      <c r="P130" t="b">
        <f t="shared" si="11"/>
        <v>1</v>
      </c>
    </row>
    <row r="131" spans="1:16" ht="15" customHeight="1" x14ac:dyDescent="0.3">
      <c r="A131" s="2" t="s">
        <v>194</v>
      </c>
      <c r="B131" s="13">
        <v>45898</v>
      </c>
      <c r="C131" s="8" t="s">
        <v>16</v>
      </c>
      <c r="D131" s="2" t="s">
        <v>11</v>
      </c>
      <c r="E131" s="2" t="s">
        <v>61</v>
      </c>
      <c r="F131" s="2">
        <v>10</v>
      </c>
      <c r="G131" s="3">
        <v>215000</v>
      </c>
      <c r="H131" s="3">
        <f t="shared" si="12"/>
        <v>2150000</v>
      </c>
      <c r="I131" s="2" t="s">
        <v>26</v>
      </c>
      <c r="J131" s="2" t="s">
        <v>59</v>
      </c>
      <c r="K131" t="str">
        <f t="shared" si="13"/>
        <v>August</v>
      </c>
      <c r="M131" t="b">
        <f t="shared" ref="M131:M194" si="14">ISNUMBER(F131)</f>
        <v>1</v>
      </c>
      <c r="N131" s="12">
        <f t="shared" ref="N131:N194" si="15">VALUE(SUBSTITUTE(SUBSTITUTE(G131,"Rp",""),",",""))</f>
        <v>215000</v>
      </c>
      <c r="O131" s="12" t="b">
        <f t="shared" ref="O131:O194" si="16">AND(B131&gt;=DATE(2025,1,1), B131&lt;=DATE(2025,12,31))</f>
        <v>1</v>
      </c>
      <c r="P131" t="b">
        <f t="shared" ref="P131:P194" si="17">ROUND(F131*G131,0)=ROUND(H131,0)</f>
        <v>1</v>
      </c>
    </row>
    <row r="132" spans="1:16" ht="15" customHeight="1" x14ac:dyDescent="0.3">
      <c r="A132" s="2" t="s">
        <v>27</v>
      </c>
      <c r="B132" s="13">
        <v>45900</v>
      </c>
      <c r="C132" s="8" t="s">
        <v>28</v>
      </c>
      <c r="D132" s="2" t="s">
        <v>11</v>
      </c>
      <c r="E132" s="2" t="s">
        <v>29</v>
      </c>
      <c r="F132" s="2">
        <v>3</v>
      </c>
      <c r="G132" s="3">
        <v>145000</v>
      </c>
      <c r="H132" s="3">
        <f t="shared" si="12"/>
        <v>435000</v>
      </c>
      <c r="I132" s="2" t="s">
        <v>26</v>
      </c>
      <c r="J132" s="2" t="s">
        <v>14</v>
      </c>
      <c r="K132" t="str">
        <f t="shared" si="13"/>
        <v>August</v>
      </c>
      <c r="M132" t="b">
        <f t="shared" si="14"/>
        <v>1</v>
      </c>
      <c r="N132" s="12">
        <f t="shared" si="15"/>
        <v>145000</v>
      </c>
      <c r="O132" s="12" t="b">
        <f t="shared" si="16"/>
        <v>1</v>
      </c>
      <c r="P132" t="b">
        <f t="shared" si="17"/>
        <v>1</v>
      </c>
    </row>
    <row r="133" spans="1:16" ht="15" customHeight="1" x14ac:dyDescent="0.3">
      <c r="A133" s="2" t="s">
        <v>101</v>
      </c>
      <c r="B133" s="13">
        <v>45901</v>
      </c>
      <c r="C133" s="8" t="s">
        <v>51</v>
      </c>
      <c r="D133" s="2" t="s">
        <v>31</v>
      </c>
      <c r="E133" s="2" t="s">
        <v>84</v>
      </c>
      <c r="F133" s="2">
        <v>15</v>
      </c>
      <c r="G133" s="3">
        <v>132000</v>
      </c>
      <c r="H133" s="3">
        <f t="shared" si="12"/>
        <v>1980000</v>
      </c>
      <c r="I133" s="2" t="s">
        <v>26</v>
      </c>
      <c r="J133" s="2" t="s">
        <v>14</v>
      </c>
      <c r="K133" t="str">
        <f t="shared" si="13"/>
        <v>September</v>
      </c>
      <c r="M133" t="b">
        <f t="shared" si="14"/>
        <v>1</v>
      </c>
      <c r="N133" s="12">
        <f t="shared" si="15"/>
        <v>132000</v>
      </c>
      <c r="O133" s="12" t="b">
        <f t="shared" si="16"/>
        <v>1</v>
      </c>
      <c r="P133" t="b">
        <f t="shared" si="17"/>
        <v>1</v>
      </c>
    </row>
    <row r="134" spans="1:16" ht="15" customHeight="1" x14ac:dyDescent="0.3">
      <c r="A134" s="2" t="s">
        <v>57</v>
      </c>
      <c r="B134" s="13">
        <v>45904</v>
      </c>
      <c r="C134" s="8" t="s">
        <v>16</v>
      </c>
      <c r="D134" s="2" t="s">
        <v>55</v>
      </c>
      <c r="E134" s="2" t="s">
        <v>58</v>
      </c>
      <c r="F134" s="2">
        <v>15</v>
      </c>
      <c r="G134" s="3">
        <v>111000</v>
      </c>
      <c r="H134" s="3">
        <f t="shared" si="12"/>
        <v>1665000</v>
      </c>
      <c r="I134" s="2" t="s">
        <v>33</v>
      </c>
      <c r="J134" s="2" t="s">
        <v>59</v>
      </c>
      <c r="K134" t="str">
        <f t="shared" si="13"/>
        <v>September</v>
      </c>
      <c r="M134" t="b">
        <f t="shared" si="14"/>
        <v>1</v>
      </c>
      <c r="N134" s="12">
        <f t="shared" si="15"/>
        <v>111000</v>
      </c>
      <c r="O134" s="12" t="b">
        <f t="shared" si="16"/>
        <v>1</v>
      </c>
      <c r="P134" t="b">
        <f t="shared" si="17"/>
        <v>1</v>
      </c>
    </row>
    <row r="135" spans="1:16" ht="15" customHeight="1" x14ac:dyDescent="0.3">
      <c r="A135" s="2" t="s">
        <v>217</v>
      </c>
      <c r="B135" s="13">
        <v>45904</v>
      </c>
      <c r="C135" s="8" t="s">
        <v>80</v>
      </c>
      <c r="D135" s="2" t="s">
        <v>48</v>
      </c>
      <c r="E135" s="2" t="s">
        <v>49</v>
      </c>
      <c r="F135" s="2">
        <v>23</v>
      </c>
      <c r="G135" s="3">
        <v>127000</v>
      </c>
      <c r="H135" s="3">
        <f t="shared" si="12"/>
        <v>2921000</v>
      </c>
      <c r="I135" s="2" t="s">
        <v>26</v>
      </c>
      <c r="J135" s="2" t="s">
        <v>14</v>
      </c>
      <c r="K135" t="str">
        <f t="shared" si="13"/>
        <v>September</v>
      </c>
      <c r="M135" t="b">
        <f t="shared" si="14"/>
        <v>1</v>
      </c>
      <c r="N135" s="12">
        <f t="shared" si="15"/>
        <v>127000</v>
      </c>
      <c r="O135" s="12" t="b">
        <f t="shared" si="16"/>
        <v>1</v>
      </c>
      <c r="P135" t="b">
        <f t="shared" si="17"/>
        <v>1</v>
      </c>
    </row>
    <row r="136" spans="1:16" ht="15" customHeight="1" x14ac:dyDescent="0.3">
      <c r="A136" s="2" t="s">
        <v>85</v>
      </c>
      <c r="B136" s="13">
        <v>45907</v>
      </c>
      <c r="C136" s="8" t="s">
        <v>51</v>
      </c>
      <c r="D136" s="2" t="s">
        <v>11</v>
      </c>
      <c r="E136" s="2" t="s">
        <v>75</v>
      </c>
      <c r="F136" s="2">
        <v>3</v>
      </c>
      <c r="G136" s="3">
        <v>95000</v>
      </c>
      <c r="H136" s="3">
        <f t="shared" si="12"/>
        <v>285000</v>
      </c>
      <c r="I136" s="2" t="s">
        <v>13</v>
      </c>
      <c r="J136" s="2" t="s">
        <v>23</v>
      </c>
      <c r="K136" t="str">
        <f t="shared" si="13"/>
        <v>September</v>
      </c>
      <c r="M136" t="b">
        <f t="shared" si="14"/>
        <v>1</v>
      </c>
      <c r="N136" s="12">
        <f t="shared" si="15"/>
        <v>95000</v>
      </c>
      <c r="O136" s="12" t="b">
        <f t="shared" si="16"/>
        <v>1</v>
      </c>
      <c r="P136" t="b">
        <f t="shared" si="17"/>
        <v>1</v>
      </c>
    </row>
    <row r="137" spans="1:16" ht="15" customHeight="1" x14ac:dyDescent="0.3">
      <c r="A137" s="2" t="s">
        <v>274</v>
      </c>
      <c r="B137" s="13">
        <v>45907</v>
      </c>
      <c r="C137" s="8" t="s">
        <v>42</v>
      </c>
      <c r="D137" s="2" t="s">
        <v>31</v>
      </c>
      <c r="E137" s="2" t="s">
        <v>32</v>
      </c>
      <c r="F137" s="2">
        <v>7</v>
      </c>
      <c r="G137" s="3">
        <v>60000</v>
      </c>
      <c r="H137" s="3">
        <f t="shared" si="12"/>
        <v>420000</v>
      </c>
      <c r="I137" s="2" t="s">
        <v>13</v>
      </c>
      <c r="J137" s="2" t="s">
        <v>14</v>
      </c>
      <c r="K137" t="str">
        <f t="shared" si="13"/>
        <v>September</v>
      </c>
      <c r="M137" t="b">
        <f t="shared" si="14"/>
        <v>1</v>
      </c>
      <c r="N137" s="12">
        <f t="shared" si="15"/>
        <v>60000</v>
      </c>
      <c r="O137" s="12" t="b">
        <f t="shared" si="16"/>
        <v>1</v>
      </c>
      <c r="P137" t="b">
        <f t="shared" si="17"/>
        <v>1</v>
      </c>
    </row>
    <row r="138" spans="1:16" ht="15" customHeight="1" x14ac:dyDescent="0.3">
      <c r="A138" s="2" t="s">
        <v>95</v>
      </c>
      <c r="B138" s="13">
        <v>45908</v>
      </c>
      <c r="C138" s="8" t="s">
        <v>45</v>
      </c>
      <c r="D138" s="2" t="s">
        <v>17</v>
      </c>
      <c r="E138" s="2" t="s">
        <v>46</v>
      </c>
      <c r="F138" s="2">
        <v>2</v>
      </c>
      <c r="G138" s="3">
        <v>76000</v>
      </c>
      <c r="H138" s="3">
        <f t="shared" si="12"/>
        <v>152000</v>
      </c>
      <c r="I138" s="2" t="s">
        <v>26</v>
      </c>
      <c r="J138" s="2" t="s">
        <v>23</v>
      </c>
      <c r="K138" t="str">
        <f t="shared" si="13"/>
        <v>September</v>
      </c>
      <c r="M138" t="b">
        <f t="shared" si="14"/>
        <v>1</v>
      </c>
      <c r="N138" s="12">
        <f t="shared" si="15"/>
        <v>76000</v>
      </c>
      <c r="O138" s="12" t="b">
        <f t="shared" si="16"/>
        <v>1</v>
      </c>
      <c r="P138" t="b">
        <f t="shared" si="17"/>
        <v>1</v>
      </c>
    </row>
    <row r="139" spans="1:16" ht="15" customHeight="1" x14ac:dyDescent="0.3">
      <c r="A139" s="2" t="s">
        <v>154</v>
      </c>
      <c r="B139" s="13">
        <v>45915</v>
      </c>
      <c r="C139" s="8" t="s">
        <v>51</v>
      </c>
      <c r="D139" s="2" t="s">
        <v>31</v>
      </c>
      <c r="E139" s="2" t="s">
        <v>84</v>
      </c>
      <c r="F139" s="2">
        <v>17</v>
      </c>
      <c r="G139" s="3">
        <v>92000</v>
      </c>
      <c r="H139" s="3">
        <f t="shared" si="12"/>
        <v>1564000</v>
      </c>
      <c r="I139" s="2" t="s">
        <v>26</v>
      </c>
      <c r="J139" s="2" t="s">
        <v>14</v>
      </c>
      <c r="K139" t="str">
        <f t="shared" si="13"/>
        <v>September</v>
      </c>
      <c r="M139" t="b">
        <f t="shared" si="14"/>
        <v>1</v>
      </c>
      <c r="N139" s="12">
        <f t="shared" si="15"/>
        <v>92000</v>
      </c>
      <c r="O139" s="12" t="b">
        <f t="shared" si="16"/>
        <v>1</v>
      </c>
      <c r="P139" t="b">
        <f t="shared" si="17"/>
        <v>1</v>
      </c>
    </row>
    <row r="140" spans="1:16" ht="15" customHeight="1" x14ac:dyDescent="0.3">
      <c r="A140" s="2" t="s">
        <v>243</v>
      </c>
      <c r="B140" s="13">
        <v>45916</v>
      </c>
      <c r="C140" s="8" t="s">
        <v>25</v>
      </c>
      <c r="D140" s="2" t="s">
        <v>31</v>
      </c>
      <c r="E140" s="2" t="s">
        <v>36</v>
      </c>
      <c r="F140" s="2">
        <v>19</v>
      </c>
      <c r="G140" s="3">
        <v>57000</v>
      </c>
      <c r="H140" s="3">
        <f t="shared" si="12"/>
        <v>1083000</v>
      </c>
      <c r="I140" s="2" t="s">
        <v>37</v>
      </c>
      <c r="J140" s="2" t="s">
        <v>23</v>
      </c>
      <c r="K140" t="str">
        <f t="shared" si="13"/>
        <v>September</v>
      </c>
      <c r="M140" t="b">
        <f t="shared" si="14"/>
        <v>1</v>
      </c>
      <c r="N140" s="12">
        <f t="shared" si="15"/>
        <v>57000</v>
      </c>
      <c r="O140" s="12" t="b">
        <f t="shared" si="16"/>
        <v>1</v>
      </c>
      <c r="P140" t="b">
        <f t="shared" si="17"/>
        <v>1</v>
      </c>
    </row>
    <row r="141" spans="1:16" ht="15" customHeight="1" x14ac:dyDescent="0.3">
      <c r="A141" s="2" t="s">
        <v>60</v>
      </c>
      <c r="B141" s="13">
        <v>45918</v>
      </c>
      <c r="C141" s="8" t="s">
        <v>21</v>
      </c>
      <c r="D141" s="2" t="s">
        <v>11</v>
      </c>
      <c r="E141" s="2" t="s">
        <v>61</v>
      </c>
      <c r="F141" s="2">
        <v>5</v>
      </c>
      <c r="G141" s="3">
        <v>95000</v>
      </c>
      <c r="H141" s="3">
        <f t="shared" si="12"/>
        <v>475000</v>
      </c>
      <c r="I141" s="2" t="s">
        <v>37</v>
      </c>
      <c r="J141" s="2" t="s">
        <v>14</v>
      </c>
      <c r="K141" t="str">
        <f t="shared" si="13"/>
        <v>September</v>
      </c>
      <c r="M141" t="b">
        <f t="shared" si="14"/>
        <v>1</v>
      </c>
      <c r="N141" s="12">
        <f t="shared" si="15"/>
        <v>95000</v>
      </c>
      <c r="O141" s="12" t="b">
        <f t="shared" si="16"/>
        <v>1</v>
      </c>
      <c r="P141" t="b">
        <f t="shared" si="17"/>
        <v>1</v>
      </c>
    </row>
    <row r="142" spans="1:16" ht="15" customHeight="1" x14ac:dyDescent="0.3">
      <c r="A142" s="2" t="s">
        <v>174</v>
      </c>
      <c r="B142" s="13">
        <v>45918</v>
      </c>
      <c r="C142" s="8" t="s">
        <v>35</v>
      </c>
      <c r="D142" s="2" t="s">
        <v>48</v>
      </c>
      <c r="E142" s="2" t="s">
        <v>89</v>
      </c>
      <c r="F142" s="2">
        <v>1</v>
      </c>
      <c r="G142" s="3">
        <v>63000</v>
      </c>
      <c r="H142" s="3">
        <f t="shared" si="12"/>
        <v>63000</v>
      </c>
      <c r="I142" s="2" t="s">
        <v>13</v>
      </c>
      <c r="J142" s="2" t="s">
        <v>14</v>
      </c>
      <c r="K142" t="str">
        <f t="shared" si="13"/>
        <v>September</v>
      </c>
      <c r="M142" t="b">
        <f t="shared" si="14"/>
        <v>1</v>
      </c>
      <c r="N142" s="12">
        <f t="shared" si="15"/>
        <v>63000</v>
      </c>
      <c r="O142" s="12" t="b">
        <f t="shared" si="16"/>
        <v>1</v>
      </c>
      <c r="P142" t="b">
        <f t="shared" si="17"/>
        <v>1</v>
      </c>
    </row>
    <row r="143" spans="1:16" ht="15" customHeight="1" x14ac:dyDescent="0.3">
      <c r="A143" s="2" t="s">
        <v>235</v>
      </c>
      <c r="B143" s="13">
        <v>45919</v>
      </c>
      <c r="C143" s="8" t="s">
        <v>25</v>
      </c>
      <c r="D143" s="2" t="s">
        <v>11</v>
      </c>
      <c r="E143" s="2" t="s">
        <v>39</v>
      </c>
      <c r="F143" s="2">
        <v>5</v>
      </c>
      <c r="G143" s="3">
        <v>166000</v>
      </c>
      <c r="H143" s="3">
        <f t="shared" si="12"/>
        <v>830000</v>
      </c>
      <c r="I143" s="2" t="s">
        <v>37</v>
      </c>
      <c r="J143" s="2" t="s">
        <v>14</v>
      </c>
      <c r="K143" t="str">
        <f t="shared" si="13"/>
        <v>September</v>
      </c>
      <c r="M143" t="b">
        <f t="shared" si="14"/>
        <v>1</v>
      </c>
      <c r="N143" s="12">
        <f t="shared" si="15"/>
        <v>166000</v>
      </c>
      <c r="O143" s="12" t="b">
        <f t="shared" si="16"/>
        <v>1</v>
      </c>
      <c r="P143" t="b">
        <f t="shared" si="17"/>
        <v>1</v>
      </c>
    </row>
    <row r="144" spans="1:16" ht="15" customHeight="1" x14ac:dyDescent="0.3">
      <c r="A144" s="2" t="s">
        <v>52</v>
      </c>
      <c r="B144" s="13">
        <v>45920</v>
      </c>
      <c r="C144" s="8" t="s">
        <v>42</v>
      </c>
      <c r="D144" s="2" t="s">
        <v>17</v>
      </c>
      <c r="E144" s="2" t="s">
        <v>53</v>
      </c>
      <c r="F144" s="2">
        <v>8</v>
      </c>
      <c r="G144" s="3">
        <v>23000</v>
      </c>
      <c r="H144" s="3">
        <f t="shared" si="12"/>
        <v>184000</v>
      </c>
      <c r="I144" s="2" t="s">
        <v>13</v>
      </c>
      <c r="J144" s="2" t="s">
        <v>14</v>
      </c>
      <c r="K144" t="str">
        <f t="shared" si="13"/>
        <v>September</v>
      </c>
      <c r="M144" t="b">
        <f t="shared" si="14"/>
        <v>1</v>
      </c>
      <c r="N144" s="12">
        <f t="shared" si="15"/>
        <v>23000</v>
      </c>
      <c r="O144" s="12" t="b">
        <f t="shared" si="16"/>
        <v>1</v>
      </c>
      <c r="P144" t="b">
        <f t="shared" si="17"/>
        <v>1</v>
      </c>
    </row>
    <row r="145" spans="1:16" ht="15" customHeight="1" x14ac:dyDescent="0.3">
      <c r="A145" s="2" t="s">
        <v>110</v>
      </c>
      <c r="B145" s="13">
        <v>45926</v>
      </c>
      <c r="C145" s="8" t="s">
        <v>28</v>
      </c>
      <c r="D145" s="2" t="s">
        <v>17</v>
      </c>
      <c r="E145" s="2" t="s">
        <v>46</v>
      </c>
      <c r="F145" s="2">
        <v>24</v>
      </c>
      <c r="G145" s="3">
        <v>41000</v>
      </c>
      <c r="H145" s="3">
        <f t="shared" si="12"/>
        <v>984000</v>
      </c>
      <c r="I145" s="2" t="s">
        <v>37</v>
      </c>
      <c r="J145" s="2" t="s">
        <v>23</v>
      </c>
      <c r="K145" t="str">
        <f t="shared" si="13"/>
        <v>September</v>
      </c>
      <c r="M145" t="b">
        <f t="shared" si="14"/>
        <v>1</v>
      </c>
      <c r="N145" s="12">
        <f t="shared" si="15"/>
        <v>41000</v>
      </c>
      <c r="O145" s="12" t="b">
        <f t="shared" si="16"/>
        <v>1</v>
      </c>
      <c r="P145" t="b">
        <f t="shared" si="17"/>
        <v>1</v>
      </c>
    </row>
    <row r="146" spans="1:16" ht="15" customHeight="1" x14ac:dyDescent="0.3">
      <c r="A146" s="2" t="s">
        <v>68</v>
      </c>
      <c r="B146" s="13">
        <v>45929</v>
      </c>
      <c r="C146" s="8" t="s">
        <v>51</v>
      </c>
      <c r="D146" s="2" t="s">
        <v>31</v>
      </c>
      <c r="E146" s="2" t="s">
        <v>32</v>
      </c>
      <c r="F146" s="2">
        <v>12</v>
      </c>
      <c r="G146" s="3">
        <v>82000</v>
      </c>
      <c r="H146" s="3">
        <f t="shared" si="12"/>
        <v>984000</v>
      </c>
      <c r="I146" s="2" t="s">
        <v>19</v>
      </c>
      <c r="J146" s="2" t="s">
        <v>14</v>
      </c>
      <c r="K146" t="str">
        <f t="shared" si="13"/>
        <v>September</v>
      </c>
      <c r="M146" t="b">
        <f t="shared" si="14"/>
        <v>1</v>
      </c>
      <c r="N146" s="12">
        <f t="shared" si="15"/>
        <v>82000</v>
      </c>
      <c r="O146" s="12" t="b">
        <f t="shared" si="16"/>
        <v>1</v>
      </c>
      <c r="P146" t="b">
        <f t="shared" si="17"/>
        <v>1</v>
      </c>
    </row>
    <row r="147" spans="1:16" ht="15" customHeight="1" x14ac:dyDescent="0.3">
      <c r="A147" s="2" t="s">
        <v>199</v>
      </c>
      <c r="B147" s="13">
        <v>45930</v>
      </c>
      <c r="C147" s="8" t="s">
        <v>42</v>
      </c>
      <c r="D147" s="2" t="s">
        <v>31</v>
      </c>
      <c r="E147" s="2" t="s">
        <v>121</v>
      </c>
      <c r="F147" s="2">
        <v>18</v>
      </c>
      <c r="G147" s="3">
        <v>112000</v>
      </c>
      <c r="H147" s="3">
        <f t="shared" si="12"/>
        <v>2016000</v>
      </c>
      <c r="I147" s="2" t="s">
        <v>37</v>
      </c>
      <c r="J147" s="2" t="s">
        <v>23</v>
      </c>
      <c r="K147" t="str">
        <f t="shared" si="13"/>
        <v>September</v>
      </c>
      <c r="M147" t="b">
        <f t="shared" si="14"/>
        <v>1</v>
      </c>
      <c r="N147" s="12">
        <f t="shared" si="15"/>
        <v>112000</v>
      </c>
      <c r="O147" s="12" t="b">
        <f t="shared" si="16"/>
        <v>1</v>
      </c>
      <c r="P147" t="b">
        <f t="shared" si="17"/>
        <v>1</v>
      </c>
    </row>
    <row r="148" spans="1:16" ht="15" customHeight="1" x14ac:dyDescent="0.3">
      <c r="A148" s="2" t="s">
        <v>272</v>
      </c>
      <c r="B148" s="13">
        <v>45932</v>
      </c>
      <c r="C148" s="8" t="s">
        <v>42</v>
      </c>
      <c r="D148" s="2" t="s">
        <v>31</v>
      </c>
      <c r="E148" s="2" t="s">
        <v>32</v>
      </c>
      <c r="F148" s="2">
        <v>17</v>
      </c>
      <c r="G148" s="3">
        <v>74000</v>
      </c>
      <c r="H148" s="3">
        <f t="shared" si="12"/>
        <v>1258000</v>
      </c>
      <c r="I148" s="2" t="s">
        <v>37</v>
      </c>
      <c r="J148" s="2" t="s">
        <v>14</v>
      </c>
      <c r="K148" t="str">
        <f t="shared" si="13"/>
        <v>October</v>
      </c>
      <c r="M148" t="b">
        <f t="shared" si="14"/>
        <v>1</v>
      </c>
      <c r="N148" s="12">
        <f t="shared" si="15"/>
        <v>74000</v>
      </c>
      <c r="O148" s="12" t="b">
        <f t="shared" si="16"/>
        <v>1</v>
      </c>
      <c r="P148" t="b">
        <f t="shared" si="17"/>
        <v>1</v>
      </c>
    </row>
    <row r="149" spans="1:16" ht="15" customHeight="1" x14ac:dyDescent="0.3">
      <c r="A149" s="2" t="s">
        <v>226</v>
      </c>
      <c r="B149" s="13">
        <v>45933</v>
      </c>
      <c r="C149" s="8" t="s">
        <v>35</v>
      </c>
      <c r="D149" s="2" t="s">
        <v>48</v>
      </c>
      <c r="E149" s="2" t="s">
        <v>66</v>
      </c>
      <c r="F149" s="2">
        <v>24</v>
      </c>
      <c r="G149" s="3">
        <v>68000</v>
      </c>
      <c r="H149" s="3">
        <f t="shared" si="12"/>
        <v>1632000</v>
      </c>
      <c r="I149" s="2" t="s">
        <v>33</v>
      </c>
      <c r="J149" s="2" t="s">
        <v>23</v>
      </c>
      <c r="K149" t="str">
        <f t="shared" si="13"/>
        <v>October</v>
      </c>
      <c r="M149" t="b">
        <f t="shared" si="14"/>
        <v>1</v>
      </c>
      <c r="N149" s="12">
        <f t="shared" si="15"/>
        <v>68000</v>
      </c>
      <c r="O149" s="12" t="b">
        <f t="shared" si="16"/>
        <v>1</v>
      </c>
      <c r="P149" t="b">
        <f t="shared" si="17"/>
        <v>1</v>
      </c>
    </row>
    <row r="150" spans="1:16" ht="15" customHeight="1" x14ac:dyDescent="0.3">
      <c r="A150" s="2" t="s">
        <v>62</v>
      </c>
      <c r="B150" s="13">
        <v>45933</v>
      </c>
      <c r="C150" s="8" t="s">
        <v>42</v>
      </c>
      <c r="D150" s="2" t="s">
        <v>17</v>
      </c>
      <c r="E150" s="2" t="s">
        <v>18</v>
      </c>
      <c r="F150" s="2">
        <v>12</v>
      </c>
      <c r="G150" s="3">
        <v>39000</v>
      </c>
      <c r="H150" s="3">
        <f t="shared" si="12"/>
        <v>468000</v>
      </c>
      <c r="I150" s="2" t="s">
        <v>33</v>
      </c>
      <c r="J150" s="2" t="s">
        <v>23</v>
      </c>
      <c r="K150" t="str">
        <f t="shared" si="13"/>
        <v>October</v>
      </c>
      <c r="M150" t="b">
        <f t="shared" si="14"/>
        <v>1</v>
      </c>
      <c r="N150" s="12">
        <f t="shared" si="15"/>
        <v>39000</v>
      </c>
      <c r="O150" s="12" t="b">
        <f t="shared" si="16"/>
        <v>1</v>
      </c>
      <c r="P150" t="b">
        <f t="shared" si="17"/>
        <v>1</v>
      </c>
    </row>
    <row r="151" spans="1:16" ht="15" customHeight="1" x14ac:dyDescent="0.3">
      <c r="A151" s="2" t="s">
        <v>144</v>
      </c>
      <c r="B151" s="13">
        <v>45934</v>
      </c>
      <c r="C151" s="8" t="s">
        <v>16</v>
      </c>
      <c r="D151" s="2" t="s">
        <v>31</v>
      </c>
      <c r="E151" s="2" t="s">
        <v>84</v>
      </c>
      <c r="F151" s="2">
        <v>22</v>
      </c>
      <c r="G151" s="3">
        <v>78000</v>
      </c>
      <c r="H151" s="3">
        <f t="shared" si="12"/>
        <v>1716000</v>
      </c>
      <c r="I151" s="2" t="s">
        <v>26</v>
      </c>
      <c r="J151" s="2" t="s">
        <v>14</v>
      </c>
      <c r="K151" t="str">
        <f t="shared" si="13"/>
        <v>October</v>
      </c>
      <c r="M151" t="b">
        <f t="shared" si="14"/>
        <v>1</v>
      </c>
      <c r="N151" s="12">
        <f t="shared" si="15"/>
        <v>78000</v>
      </c>
      <c r="O151" s="12" t="b">
        <f t="shared" si="16"/>
        <v>1</v>
      </c>
      <c r="P151" t="b">
        <f t="shared" si="17"/>
        <v>1</v>
      </c>
    </row>
    <row r="152" spans="1:16" ht="15" customHeight="1" x14ac:dyDescent="0.3">
      <c r="A152" s="2" t="s">
        <v>193</v>
      </c>
      <c r="B152" s="13">
        <v>45934</v>
      </c>
      <c r="C152" s="8" t="s">
        <v>51</v>
      </c>
      <c r="D152" s="2" t="s">
        <v>11</v>
      </c>
      <c r="E152" s="2" t="s">
        <v>12</v>
      </c>
      <c r="F152" s="2">
        <v>11</v>
      </c>
      <c r="G152" s="3">
        <v>231000</v>
      </c>
      <c r="H152" s="3">
        <f t="shared" si="12"/>
        <v>2541000</v>
      </c>
      <c r="I152" s="2" t="s">
        <v>26</v>
      </c>
      <c r="J152" s="2" t="s">
        <v>14</v>
      </c>
      <c r="K152" t="str">
        <f t="shared" si="13"/>
        <v>October</v>
      </c>
      <c r="M152" t="b">
        <f t="shared" si="14"/>
        <v>1</v>
      </c>
      <c r="N152" s="12">
        <f t="shared" si="15"/>
        <v>231000</v>
      </c>
      <c r="O152" s="12" t="b">
        <f t="shared" si="16"/>
        <v>1</v>
      </c>
      <c r="P152" t="b">
        <f t="shared" si="17"/>
        <v>1</v>
      </c>
    </row>
    <row r="153" spans="1:16" ht="15" customHeight="1" x14ac:dyDescent="0.3">
      <c r="A153" s="2" t="s">
        <v>266</v>
      </c>
      <c r="B153" s="13">
        <v>45934</v>
      </c>
      <c r="C153" s="8" t="s">
        <v>64</v>
      </c>
      <c r="D153" s="2" t="s">
        <v>11</v>
      </c>
      <c r="E153" s="2" t="s">
        <v>61</v>
      </c>
      <c r="F153" s="2">
        <v>6</v>
      </c>
      <c r="G153" s="3">
        <v>139000</v>
      </c>
      <c r="H153" s="3">
        <f t="shared" si="12"/>
        <v>834000</v>
      </c>
      <c r="I153" s="2" t="s">
        <v>33</v>
      </c>
      <c r="J153" s="2" t="s">
        <v>59</v>
      </c>
      <c r="K153" t="str">
        <f t="shared" si="13"/>
        <v>October</v>
      </c>
      <c r="M153" t="b">
        <f t="shared" si="14"/>
        <v>1</v>
      </c>
      <c r="N153" s="12">
        <f t="shared" si="15"/>
        <v>139000</v>
      </c>
      <c r="O153" s="12" t="b">
        <f t="shared" si="16"/>
        <v>1</v>
      </c>
      <c r="P153" t="b">
        <f t="shared" si="17"/>
        <v>1</v>
      </c>
    </row>
    <row r="154" spans="1:16" ht="15" customHeight="1" x14ac:dyDescent="0.3">
      <c r="A154" s="2" t="s">
        <v>76</v>
      </c>
      <c r="B154" s="13">
        <v>45936</v>
      </c>
      <c r="C154" s="8" t="s">
        <v>35</v>
      </c>
      <c r="D154" s="2" t="s">
        <v>48</v>
      </c>
      <c r="E154" s="2" t="s">
        <v>77</v>
      </c>
      <c r="F154" s="2">
        <v>8</v>
      </c>
      <c r="G154" s="3">
        <v>65000</v>
      </c>
      <c r="H154" s="3">
        <f t="shared" si="12"/>
        <v>520000</v>
      </c>
      <c r="I154" s="2" t="s">
        <v>26</v>
      </c>
      <c r="J154" s="2" t="s">
        <v>59</v>
      </c>
      <c r="K154" t="str">
        <f t="shared" si="13"/>
        <v>October</v>
      </c>
      <c r="M154" t="b">
        <f t="shared" si="14"/>
        <v>1</v>
      </c>
      <c r="N154" s="12">
        <f t="shared" si="15"/>
        <v>65000</v>
      </c>
      <c r="O154" s="12" t="b">
        <f t="shared" si="16"/>
        <v>1</v>
      </c>
      <c r="P154" t="b">
        <f t="shared" si="17"/>
        <v>1</v>
      </c>
    </row>
    <row r="155" spans="1:16" ht="15" customHeight="1" x14ac:dyDescent="0.3">
      <c r="A155" s="2" t="s">
        <v>143</v>
      </c>
      <c r="B155" s="13">
        <v>45938</v>
      </c>
      <c r="C155" s="8" t="s">
        <v>25</v>
      </c>
      <c r="D155" s="2" t="s">
        <v>31</v>
      </c>
      <c r="E155" s="2" t="s">
        <v>121</v>
      </c>
      <c r="F155" s="2">
        <v>15</v>
      </c>
      <c r="G155" s="3">
        <v>108000</v>
      </c>
      <c r="H155" s="3">
        <f t="shared" si="12"/>
        <v>1620000</v>
      </c>
      <c r="I155" s="2" t="s">
        <v>37</v>
      </c>
      <c r="J155" s="2" t="s">
        <v>14</v>
      </c>
      <c r="K155" t="str">
        <f t="shared" si="13"/>
        <v>October</v>
      </c>
      <c r="M155" t="b">
        <f t="shared" si="14"/>
        <v>1</v>
      </c>
      <c r="N155" s="12">
        <f t="shared" si="15"/>
        <v>108000</v>
      </c>
      <c r="O155" s="12" t="b">
        <f t="shared" si="16"/>
        <v>1</v>
      </c>
      <c r="P155" t="b">
        <f t="shared" si="17"/>
        <v>1</v>
      </c>
    </row>
    <row r="156" spans="1:16" ht="15" customHeight="1" x14ac:dyDescent="0.3">
      <c r="A156" s="2" t="s">
        <v>133</v>
      </c>
      <c r="B156" s="13">
        <v>45939</v>
      </c>
      <c r="C156" s="8" t="s">
        <v>42</v>
      </c>
      <c r="D156" s="2" t="s">
        <v>17</v>
      </c>
      <c r="E156" s="2" t="s">
        <v>18</v>
      </c>
      <c r="F156" s="2">
        <v>16</v>
      </c>
      <c r="G156" s="3">
        <v>56000</v>
      </c>
      <c r="H156" s="3">
        <f t="shared" si="12"/>
        <v>896000</v>
      </c>
      <c r="I156" s="2" t="s">
        <v>19</v>
      </c>
      <c r="J156" s="2" t="s">
        <v>23</v>
      </c>
      <c r="K156" t="str">
        <f t="shared" si="13"/>
        <v>October</v>
      </c>
      <c r="M156" t="b">
        <f t="shared" si="14"/>
        <v>1</v>
      </c>
      <c r="N156" s="12">
        <f t="shared" si="15"/>
        <v>56000</v>
      </c>
      <c r="O156" s="12" t="b">
        <f t="shared" si="16"/>
        <v>1</v>
      </c>
      <c r="P156" t="b">
        <f t="shared" si="17"/>
        <v>1</v>
      </c>
    </row>
    <row r="157" spans="1:16" ht="15" customHeight="1" x14ac:dyDescent="0.3">
      <c r="A157" s="2" t="s">
        <v>140</v>
      </c>
      <c r="B157" s="13">
        <v>45939</v>
      </c>
      <c r="C157" s="8" t="s">
        <v>42</v>
      </c>
      <c r="D157" s="2" t="s">
        <v>55</v>
      </c>
      <c r="E157" s="2" t="s">
        <v>56</v>
      </c>
      <c r="F157" s="2">
        <v>23</v>
      </c>
      <c r="G157" s="3">
        <v>18000</v>
      </c>
      <c r="H157" s="3">
        <f t="shared" si="12"/>
        <v>414000</v>
      </c>
      <c r="I157" s="2" t="s">
        <v>26</v>
      </c>
      <c r="J157" s="2" t="s">
        <v>14</v>
      </c>
      <c r="K157" t="str">
        <f t="shared" si="13"/>
        <v>October</v>
      </c>
      <c r="M157" t="b">
        <f t="shared" si="14"/>
        <v>1</v>
      </c>
      <c r="N157" s="12">
        <f t="shared" si="15"/>
        <v>18000</v>
      </c>
      <c r="O157" s="12" t="b">
        <f t="shared" si="16"/>
        <v>1</v>
      </c>
      <c r="P157" t="b">
        <f t="shared" si="17"/>
        <v>1</v>
      </c>
    </row>
    <row r="158" spans="1:16" ht="15" customHeight="1" x14ac:dyDescent="0.3">
      <c r="A158" s="2" t="s">
        <v>197</v>
      </c>
      <c r="B158" s="13">
        <v>45940</v>
      </c>
      <c r="C158" s="8" t="s">
        <v>45</v>
      </c>
      <c r="D158" s="2" t="s">
        <v>31</v>
      </c>
      <c r="E158" s="2" t="s">
        <v>36</v>
      </c>
      <c r="F158" s="2">
        <v>14</v>
      </c>
      <c r="G158" s="3">
        <v>59000</v>
      </c>
      <c r="H158" s="3">
        <f t="shared" si="12"/>
        <v>826000</v>
      </c>
      <c r="I158" s="2" t="s">
        <v>19</v>
      </c>
      <c r="J158" s="2" t="s">
        <v>14</v>
      </c>
      <c r="K158" t="str">
        <f t="shared" si="13"/>
        <v>October</v>
      </c>
      <c r="M158" t="b">
        <f t="shared" si="14"/>
        <v>1</v>
      </c>
      <c r="N158" s="12">
        <f t="shared" si="15"/>
        <v>59000</v>
      </c>
      <c r="O158" s="12" t="b">
        <f t="shared" si="16"/>
        <v>1</v>
      </c>
      <c r="P158" t="b">
        <f t="shared" si="17"/>
        <v>1</v>
      </c>
    </row>
    <row r="159" spans="1:16" ht="15" customHeight="1" x14ac:dyDescent="0.3">
      <c r="A159" s="2" t="s">
        <v>255</v>
      </c>
      <c r="B159" s="13">
        <v>45940</v>
      </c>
      <c r="C159" s="8" t="s">
        <v>42</v>
      </c>
      <c r="D159" s="2" t="s">
        <v>48</v>
      </c>
      <c r="E159" s="2" t="s">
        <v>49</v>
      </c>
      <c r="F159" s="2">
        <v>3</v>
      </c>
      <c r="G159" s="3">
        <v>97000</v>
      </c>
      <c r="H159" s="3">
        <f t="shared" si="12"/>
        <v>291000</v>
      </c>
      <c r="I159" s="2" t="s">
        <v>33</v>
      </c>
      <c r="J159" s="2" t="s">
        <v>23</v>
      </c>
      <c r="K159" t="str">
        <f t="shared" si="13"/>
        <v>October</v>
      </c>
      <c r="M159" t="b">
        <f t="shared" si="14"/>
        <v>1</v>
      </c>
      <c r="N159" s="12">
        <f t="shared" si="15"/>
        <v>97000</v>
      </c>
      <c r="O159" s="12" t="b">
        <f t="shared" si="16"/>
        <v>1</v>
      </c>
      <c r="P159" t="b">
        <f t="shared" si="17"/>
        <v>1</v>
      </c>
    </row>
    <row r="160" spans="1:16" ht="15" customHeight="1" x14ac:dyDescent="0.3">
      <c r="A160" s="2" t="s">
        <v>241</v>
      </c>
      <c r="B160" s="13">
        <v>45941</v>
      </c>
      <c r="C160" s="8" t="s">
        <v>21</v>
      </c>
      <c r="D160" s="2" t="s">
        <v>48</v>
      </c>
      <c r="E160" s="2" t="s">
        <v>66</v>
      </c>
      <c r="F160" s="2">
        <v>8</v>
      </c>
      <c r="G160" s="3">
        <v>65000</v>
      </c>
      <c r="H160" s="3">
        <f t="shared" si="12"/>
        <v>520000</v>
      </c>
      <c r="I160" s="2" t="s">
        <v>26</v>
      </c>
      <c r="J160" s="2" t="s">
        <v>59</v>
      </c>
      <c r="K160" t="str">
        <f t="shared" si="13"/>
        <v>October</v>
      </c>
      <c r="M160" t="b">
        <f t="shared" si="14"/>
        <v>1</v>
      </c>
      <c r="N160" s="12">
        <f t="shared" si="15"/>
        <v>65000</v>
      </c>
      <c r="O160" s="12" t="b">
        <f t="shared" si="16"/>
        <v>1</v>
      </c>
      <c r="P160" t="b">
        <f t="shared" si="17"/>
        <v>1</v>
      </c>
    </row>
    <row r="161" spans="1:16" ht="15" customHeight="1" x14ac:dyDescent="0.3">
      <c r="A161" s="2" t="s">
        <v>198</v>
      </c>
      <c r="B161" s="13">
        <v>45941</v>
      </c>
      <c r="C161" s="8" t="s">
        <v>64</v>
      </c>
      <c r="D161" s="2" t="s">
        <v>11</v>
      </c>
      <c r="E161" s="2" t="s">
        <v>12</v>
      </c>
      <c r="F161" s="2">
        <v>18</v>
      </c>
      <c r="G161" s="3">
        <v>227000</v>
      </c>
      <c r="H161" s="3">
        <f t="shared" si="12"/>
        <v>4086000</v>
      </c>
      <c r="I161" s="2" t="s">
        <v>19</v>
      </c>
      <c r="J161" s="2" t="s">
        <v>14</v>
      </c>
      <c r="K161" t="str">
        <f t="shared" si="13"/>
        <v>October</v>
      </c>
      <c r="M161" t="b">
        <f t="shared" si="14"/>
        <v>1</v>
      </c>
      <c r="N161" s="12">
        <f t="shared" si="15"/>
        <v>227000</v>
      </c>
      <c r="O161" s="12" t="b">
        <f t="shared" si="16"/>
        <v>1</v>
      </c>
      <c r="P161" t="b">
        <f t="shared" si="17"/>
        <v>1</v>
      </c>
    </row>
    <row r="162" spans="1:16" ht="15" customHeight="1" x14ac:dyDescent="0.3">
      <c r="A162" s="2" t="s">
        <v>215</v>
      </c>
      <c r="B162" s="13">
        <v>45942</v>
      </c>
      <c r="C162" s="8" t="s">
        <v>80</v>
      </c>
      <c r="D162" s="2" t="s">
        <v>11</v>
      </c>
      <c r="E162" s="2" t="s">
        <v>127</v>
      </c>
      <c r="F162" s="2">
        <v>19</v>
      </c>
      <c r="G162" s="3">
        <v>92000</v>
      </c>
      <c r="H162" s="3">
        <f t="shared" si="12"/>
        <v>1748000</v>
      </c>
      <c r="I162" s="2" t="s">
        <v>37</v>
      </c>
      <c r="J162" s="2" t="s">
        <v>59</v>
      </c>
      <c r="K162" t="str">
        <f t="shared" si="13"/>
        <v>October</v>
      </c>
      <c r="M162" t="b">
        <f t="shared" si="14"/>
        <v>1</v>
      </c>
      <c r="N162" s="12">
        <f t="shared" si="15"/>
        <v>92000</v>
      </c>
      <c r="O162" s="12" t="b">
        <f t="shared" si="16"/>
        <v>1</v>
      </c>
      <c r="P162" t="b">
        <f t="shared" si="17"/>
        <v>1</v>
      </c>
    </row>
    <row r="163" spans="1:16" ht="15" customHeight="1" x14ac:dyDescent="0.3">
      <c r="A163" s="2" t="s">
        <v>98</v>
      </c>
      <c r="B163" s="13">
        <v>45943</v>
      </c>
      <c r="C163" s="8" t="s">
        <v>80</v>
      </c>
      <c r="D163" s="2" t="s">
        <v>11</v>
      </c>
      <c r="E163" s="2" t="s">
        <v>39</v>
      </c>
      <c r="F163" s="2">
        <v>1</v>
      </c>
      <c r="G163" s="3">
        <v>102000</v>
      </c>
      <c r="H163" s="3">
        <f t="shared" si="12"/>
        <v>102000</v>
      </c>
      <c r="I163" s="2" t="s">
        <v>19</v>
      </c>
      <c r="J163" s="2" t="s">
        <v>14</v>
      </c>
      <c r="K163" t="str">
        <f t="shared" si="13"/>
        <v>October</v>
      </c>
      <c r="M163" t="b">
        <f t="shared" si="14"/>
        <v>1</v>
      </c>
      <c r="N163" s="12">
        <f t="shared" si="15"/>
        <v>102000</v>
      </c>
      <c r="O163" s="12" t="b">
        <f t="shared" si="16"/>
        <v>1</v>
      </c>
      <c r="P163" t="b">
        <f t="shared" si="17"/>
        <v>1</v>
      </c>
    </row>
    <row r="164" spans="1:16" ht="15" customHeight="1" x14ac:dyDescent="0.3">
      <c r="A164" s="2" t="s">
        <v>223</v>
      </c>
      <c r="B164" s="13">
        <v>45945</v>
      </c>
      <c r="C164" s="8" t="s">
        <v>51</v>
      </c>
      <c r="D164" s="2" t="s">
        <v>55</v>
      </c>
      <c r="E164" s="2" t="s">
        <v>92</v>
      </c>
      <c r="F164" s="2">
        <v>14</v>
      </c>
      <c r="G164" s="3">
        <v>61000</v>
      </c>
      <c r="H164" s="3">
        <f t="shared" si="12"/>
        <v>854000</v>
      </c>
      <c r="I164" s="2" t="s">
        <v>37</v>
      </c>
      <c r="J164" s="2" t="s">
        <v>14</v>
      </c>
      <c r="K164" t="str">
        <f t="shared" si="13"/>
        <v>October</v>
      </c>
      <c r="M164" t="b">
        <f t="shared" si="14"/>
        <v>1</v>
      </c>
      <c r="N164" s="12">
        <f t="shared" si="15"/>
        <v>61000</v>
      </c>
      <c r="O164" s="12" t="b">
        <f t="shared" si="16"/>
        <v>1</v>
      </c>
      <c r="P164" t="b">
        <f t="shared" si="17"/>
        <v>1</v>
      </c>
    </row>
    <row r="165" spans="1:16" ht="15" customHeight="1" x14ac:dyDescent="0.3">
      <c r="A165" s="2" t="s">
        <v>67</v>
      </c>
      <c r="B165" s="13">
        <v>45947</v>
      </c>
      <c r="C165" s="8" t="s">
        <v>35</v>
      </c>
      <c r="D165" s="2" t="s">
        <v>11</v>
      </c>
      <c r="E165" s="2" t="s">
        <v>61</v>
      </c>
      <c r="F165" s="2">
        <v>24</v>
      </c>
      <c r="G165" s="3">
        <v>197000</v>
      </c>
      <c r="H165" s="3">
        <f t="shared" si="12"/>
        <v>4728000</v>
      </c>
      <c r="I165" s="2" t="s">
        <v>33</v>
      </c>
      <c r="J165" s="2" t="s">
        <v>14</v>
      </c>
      <c r="K165" t="str">
        <f t="shared" si="13"/>
        <v>October</v>
      </c>
      <c r="M165" t="b">
        <f t="shared" si="14"/>
        <v>1</v>
      </c>
      <c r="N165" s="12">
        <f t="shared" si="15"/>
        <v>197000</v>
      </c>
      <c r="O165" s="12" t="b">
        <f t="shared" si="16"/>
        <v>1</v>
      </c>
      <c r="P165" t="b">
        <f t="shared" si="17"/>
        <v>1</v>
      </c>
    </row>
    <row r="166" spans="1:16" ht="15" customHeight="1" x14ac:dyDescent="0.3">
      <c r="A166" s="2" t="s">
        <v>261</v>
      </c>
      <c r="B166" s="13">
        <v>45947</v>
      </c>
      <c r="C166" s="8" t="s">
        <v>45</v>
      </c>
      <c r="D166" s="2" t="s">
        <v>55</v>
      </c>
      <c r="E166" s="2" t="s">
        <v>97</v>
      </c>
      <c r="F166" s="2">
        <v>5</v>
      </c>
      <c r="G166" s="3">
        <v>75000</v>
      </c>
      <c r="H166" s="3">
        <f t="shared" si="12"/>
        <v>375000</v>
      </c>
      <c r="I166" s="2" t="s">
        <v>19</v>
      </c>
      <c r="J166" s="2" t="s">
        <v>23</v>
      </c>
      <c r="K166" t="str">
        <f t="shared" si="13"/>
        <v>October</v>
      </c>
      <c r="M166" t="b">
        <f t="shared" si="14"/>
        <v>1</v>
      </c>
      <c r="N166" s="12">
        <f t="shared" si="15"/>
        <v>75000</v>
      </c>
      <c r="O166" s="12" t="b">
        <f t="shared" si="16"/>
        <v>1</v>
      </c>
      <c r="P166" t="b">
        <f t="shared" si="17"/>
        <v>1</v>
      </c>
    </row>
    <row r="167" spans="1:16" ht="15" customHeight="1" x14ac:dyDescent="0.3">
      <c r="A167" s="2" t="s">
        <v>104</v>
      </c>
      <c r="B167" s="13">
        <v>45949</v>
      </c>
      <c r="C167" s="8" t="s">
        <v>21</v>
      </c>
      <c r="D167" s="2" t="s">
        <v>48</v>
      </c>
      <c r="E167" s="2" t="s">
        <v>49</v>
      </c>
      <c r="F167" s="2">
        <v>20</v>
      </c>
      <c r="G167" s="3">
        <v>102000</v>
      </c>
      <c r="H167" s="3">
        <f t="shared" si="12"/>
        <v>2040000</v>
      </c>
      <c r="I167" s="2" t="s">
        <v>37</v>
      </c>
      <c r="J167" s="2" t="s">
        <v>14</v>
      </c>
      <c r="K167" t="str">
        <f t="shared" si="13"/>
        <v>October</v>
      </c>
      <c r="M167" t="b">
        <f t="shared" si="14"/>
        <v>1</v>
      </c>
      <c r="N167" s="12">
        <f t="shared" si="15"/>
        <v>102000</v>
      </c>
      <c r="O167" s="12" t="b">
        <f t="shared" si="16"/>
        <v>1</v>
      </c>
      <c r="P167" t="b">
        <f t="shared" si="17"/>
        <v>1</v>
      </c>
    </row>
    <row r="168" spans="1:16" ht="15" customHeight="1" x14ac:dyDescent="0.3">
      <c r="A168" s="2" t="s">
        <v>218</v>
      </c>
      <c r="B168" s="13">
        <v>45952</v>
      </c>
      <c r="C168" s="8" t="s">
        <v>28</v>
      </c>
      <c r="D168" s="2" t="s">
        <v>31</v>
      </c>
      <c r="E168" s="2" t="s">
        <v>32</v>
      </c>
      <c r="F168" s="2">
        <v>21</v>
      </c>
      <c r="G168" s="3">
        <v>160000</v>
      </c>
      <c r="H168" s="3">
        <f t="shared" si="12"/>
        <v>3360000</v>
      </c>
      <c r="I168" s="2" t="s">
        <v>26</v>
      </c>
      <c r="J168" s="2" t="s">
        <v>23</v>
      </c>
      <c r="K168" t="str">
        <f t="shared" si="13"/>
        <v>October</v>
      </c>
      <c r="M168" t="b">
        <f t="shared" si="14"/>
        <v>1</v>
      </c>
      <c r="N168" s="12">
        <f t="shared" si="15"/>
        <v>160000</v>
      </c>
      <c r="O168" s="12" t="b">
        <f t="shared" si="16"/>
        <v>1</v>
      </c>
      <c r="P168" t="b">
        <f t="shared" si="17"/>
        <v>1</v>
      </c>
    </row>
    <row r="169" spans="1:16" ht="15" customHeight="1" x14ac:dyDescent="0.3">
      <c r="A169" s="2" t="s">
        <v>248</v>
      </c>
      <c r="B169" s="13">
        <v>45954</v>
      </c>
      <c r="C169" s="8" t="s">
        <v>45</v>
      </c>
      <c r="D169" s="2" t="s">
        <v>55</v>
      </c>
      <c r="E169" s="2" t="s">
        <v>56</v>
      </c>
      <c r="F169" s="2">
        <v>15</v>
      </c>
      <c r="G169" s="3">
        <v>80000</v>
      </c>
      <c r="H169" s="3">
        <f t="shared" si="12"/>
        <v>1200000</v>
      </c>
      <c r="I169" s="2" t="s">
        <v>26</v>
      </c>
      <c r="J169" s="2" t="s">
        <v>23</v>
      </c>
      <c r="K169" t="str">
        <f t="shared" si="13"/>
        <v>October</v>
      </c>
      <c r="M169" t="b">
        <f t="shared" si="14"/>
        <v>1</v>
      </c>
      <c r="N169" s="12">
        <f t="shared" si="15"/>
        <v>80000</v>
      </c>
      <c r="O169" s="12" t="b">
        <f t="shared" si="16"/>
        <v>1</v>
      </c>
      <c r="P169" t="b">
        <f t="shared" si="17"/>
        <v>1</v>
      </c>
    </row>
    <row r="170" spans="1:16" ht="15" customHeight="1" x14ac:dyDescent="0.3">
      <c r="A170" s="2" t="s">
        <v>273</v>
      </c>
      <c r="B170" s="13">
        <v>45955</v>
      </c>
      <c r="C170" s="8" t="s">
        <v>80</v>
      </c>
      <c r="D170" s="2" t="s">
        <v>17</v>
      </c>
      <c r="E170" s="2" t="s">
        <v>46</v>
      </c>
      <c r="F170" s="2">
        <v>14</v>
      </c>
      <c r="G170" s="3">
        <v>78000</v>
      </c>
      <c r="H170" s="3">
        <f t="shared" si="12"/>
        <v>1092000</v>
      </c>
      <c r="I170" s="2" t="s">
        <v>19</v>
      </c>
      <c r="J170" s="2" t="s">
        <v>14</v>
      </c>
      <c r="K170" t="str">
        <f t="shared" si="13"/>
        <v>October</v>
      </c>
      <c r="M170" t="b">
        <f t="shared" si="14"/>
        <v>1</v>
      </c>
      <c r="N170" s="12">
        <f t="shared" si="15"/>
        <v>78000</v>
      </c>
      <c r="O170" s="12" t="b">
        <f t="shared" si="16"/>
        <v>1</v>
      </c>
      <c r="P170" t="b">
        <f t="shared" si="17"/>
        <v>1</v>
      </c>
    </row>
    <row r="171" spans="1:16" ht="15" customHeight="1" x14ac:dyDescent="0.3">
      <c r="A171" s="2" t="s">
        <v>88</v>
      </c>
      <c r="B171" s="13">
        <v>45958</v>
      </c>
      <c r="C171" s="8" t="s">
        <v>51</v>
      </c>
      <c r="D171" s="2" t="s">
        <v>48</v>
      </c>
      <c r="E171" s="2" t="s">
        <v>89</v>
      </c>
      <c r="F171" s="2">
        <v>22</v>
      </c>
      <c r="G171" s="3">
        <v>141000</v>
      </c>
      <c r="H171" s="3">
        <f t="shared" si="12"/>
        <v>3102000</v>
      </c>
      <c r="I171" s="2" t="s">
        <v>13</v>
      </c>
      <c r="J171" s="2" t="s">
        <v>59</v>
      </c>
      <c r="K171" t="str">
        <f t="shared" si="13"/>
        <v>October</v>
      </c>
      <c r="M171" t="b">
        <f t="shared" si="14"/>
        <v>1</v>
      </c>
      <c r="N171" s="12">
        <f t="shared" si="15"/>
        <v>141000</v>
      </c>
      <c r="O171" s="12" t="b">
        <f t="shared" si="16"/>
        <v>1</v>
      </c>
      <c r="P171" t="b">
        <f t="shared" si="17"/>
        <v>1</v>
      </c>
    </row>
    <row r="172" spans="1:16" ht="15" customHeight="1" x14ac:dyDescent="0.3">
      <c r="A172" s="2" t="s">
        <v>246</v>
      </c>
      <c r="B172" s="13">
        <v>45959</v>
      </c>
      <c r="C172" s="8" t="s">
        <v>51</v>
      </c>
      <c r="D172" s="2" t="s">
        <v>48</v>
      </c>
      <c r="E172" s="2" t="s">
        <v>89</v>
      </c>
      <c r="F172" s="2">
        <v>4</v>
      </c>
      <c r="G172" s="3">
        <v>76000</v>
      </c>
      <c r="H172" s="3">
        <f t="shared" si="12"/>
        <v>304000</v>
      </c>
      <c r="I172" s="2" t="s">
        <v>26</v>
      </c>
      <c r="J172" s="2" t="s">
        <v>14</v>
      </c>
      <c r="K172" t="str">
        <f t="shared" si="13"/>
        <v>October</v>
      </c>
      <c r="M172" t="b">
        <f t="shared" si="14"/>
        <v>1</v>
      </c>
      <c r="N172" s="12">
        <f t="shared" si="15"/>
        <v>76000</v>
      </c>
      <c r="O172" s="12" t="b">
        <f t="shared" si="16"/>
        <v>1</v>
      </c>
      <c r="P172" t="b">
        <f t="shared" si="17"/>
        <v>1</v>
      </c>
    </row>
    <row r="173" spans="1:16" ht="15" customHeight="1" x14ac:dyDescent="0.3">
      <c r="A173" s="2" t="s">
        <v>237</v>
      </c>
      <c r="B173" s="13">
        <v>45960</v>
      </c>
      <c r="C173" s="8" t="s">
        <v>64</v>
      </c>
      <c r="D173" s="2" t="s">
        <v>55</v>
      </c>
      <c r="E173" s="2" t="s">
        <v>92</v>
      </c>
      <c r="F173" s="2">
        <v>3</v>
      </c>
      <c r="G173" s="3">
        <v>72000</v>
      </c>
      <c r="H173" s="3">
        <f t="shared" si="12"/>
        <v>216000</v>
      </c>
      <c r="I173" s="2" t="s">
        <v>19</v>
      </c>
      <c r="J173" s="2" t="s">
        <v>23</v>
      </c>
      <c r="K173" t="str">
        <f t="shared" si="13"/>
        <v>October</v>
      </c>
      <c r="M173" t="b">
        <f t="shared" si="14"/>
        <v>1</v>
      </c>
      <c r="N173" s="12">
        <f t="shared" si="15"/>
        <v>72000</v>
      </c>
      <c r="O173" s="12" t="b">
        <f t="shared" si="16"/>
        <v>1</v>
      </c>
      <c r="P173" t="b">
        <f t="shared" si="17"/>
        <v>1</v>
      </c>
    </row>
    <row r="174" spans="1:16" ht="15" customHeight="1" x14ac:dyDescent="0.3">
      <c r="A174" s="2" t="s">
        <v>86</v>
      </c>
      <c r="B174" s="13">
        <v>45963</v>
      </c>
      <c r="C174" s="8" t="s">
        <v>16</v>
      </c>
      <c r="D174" s="2" t="s">
        <v>48</v>
      </c>
      <c r="E174" s="2" t="s">
        <v>49</v>
      </c>
      <c r="F174" s="2">
        <v>17</v>
      </c>
      <c r="G174" s="3">
        <v>92000</v>
      </c>
      <c r="H174" s="3">
        <f t="shared" si="12"/>
        <v>1564000</v>
      </c>
      <c r="I174" s="2" t="s">
        <v>37</v>
      </c>
      <c r="J174" s="2" t="s">
        <v>23</v>
      </c>
      <c r="K174" t="str">
        <f t="shared" si="13"/>
        <v>November</v>
      </c>
      <c r="M174" t="b">
        <f t="shared" si="14"/>
        <v>1</v>
      </c>
      <c r="N174" s="12">
        <f t="shared" si="15"/>
        <v>92000</v>
      </c>
      <c r="O174" s="12" t="b">
        <f t="shared" si="16"/>
        <v>1</v>
      </c>
      <c r="P174" t="b">
        <f t="shared" si="17"/>
        <v>1</v>
      </c>
    </row>
    <row r="175" spans="1:16" ht="15" customHeight="1" x14ac:dyDescent="0.3">
      <c r="A175" s="2" t="s">
        <v>114</v>
      </c>
      <c r="B175" s="13">
        <v>45964</v>
      </c>
      <c r="C175" s="8" t="s">
        <v>51</v>
      </c>
      <c r="D175" s="2" t="s">
        <v>31</v>
      </c>
      <c r="E175" s="2" t="s">
        <v>84</v>
      </c>
      <c r="F175" s="2">
        <v>9</v>
      </c>
      <c r="G175" s="3">
        <v>151000</v>
      </c>
      <c r="H175" s="3">
        <f t="shared" si="12"/>
        <v>1359000</v>
      </c>
      <c r="I175" s="2" t="s">
        <v>13</v>
      </c>
      <c r="J175" s="2" t="s">
        <v>14</v>
      </c>
      <c r="K175" t="str">
        <f t="shared" si="13"/>
        <v>November</v>
      </c>
      <c r="M175" t="b">
        <f t="shared" si="14"/>
        <v>1</v>
      </c>
      <c r="N175" s="12">
        <f t="shared" si="15"/>
        <v>151000</v>
      </c>
      <c r="O175" s="12" t="b">
        <f t="shared" si="16"/>
        <v>1</v>
      </c>
      <c r="P175" t="b">
        <f t="shared" si="17"/>
        <v>1</v>
      </c>
    </row>
    <row r="176" spans="1:16" ht="15" customHeight="1" x14ac:dyDescent="0.3">
      <c r="A176" s="2" t="s">
        <v>181</v>
      </c>
      <c r="B176" s="13">
        <v>45965</v>
      </c>
      <c r="C176" s="8" t="s">
        <v>16</v>
      </c>
      <c r="D176" s="2" t="s">
        <v>55</v>
      </c>
      <c r="E176" s="2" t="s">
        <v>58</v>
      </c>
      <c r="F176" s="2">
        <v>19</v>
      </c>
      <c r="G176" s="3">
        <v>34000</v>
      </c>
      <c r="H176" s="3">
        <f t="shared" si="12"/>
        <v>646000</v>
      </c>
      <c r="I176" s="2" t="s">
        <v>13</v>
      </c>
      <c r="J176" s="2" t="s">
        <v>14</v>
      </c>
      <c r="K176" t="str">
        <f t="shared" si="13"/>
        <v>November</v>
      </c>
      <c r="M176" t="b">
        <f t="shared" si="14"/>
        <v>1</v>
      </c>
      <c r="N176" s="12">
        <f t="shared" si="15"/>
        <v>34000</v>
      </c>
      <c r="O176" s="12" t="b">
        <f t="shared" si="16"/>
        <v>1</v>
      </c>
      <c r="P176" t="b">
        <f t="shared" si="17"/>
        <v>1</v>
      </c>
    </row>
    <row r="177" spans="1:16" ht="15" customHeight="1" x14ac:dyDescent="0.3">
      <c r="A177" s="2" t="s">
        <v>256</v>
      </c>
      <c r="B177" s="13">
        <v>45966</v>
      </c>
      <c r="C177" s="8" t="s">
        <v>42</v>
      </c>
      <c r="D177" s="2" t="s">
        <v>11</v>
      </c>
      <c r="E177" s="2" t="s">
        <v>61</v>
      </c>
      <c r="F177" s="2">
        <v>25</v>
      </c>
      <c r="G177" s="3">
        <v>195000</v>
      </c>
      <c r="H177" s="3">
        <f t="shared" si="12"/>
        <v>4875000</v>
      </c>
      <c r="I177" s="2" t="s">
        <v>37</v>
      </c>
      <c r="J177" s="2" t="s">
        <v>14</v>
      </c>
      <c r="K177" t="str">
        <f t="shared" si="13"/>
        <v>November</v>
      </c>
      <c r="M177" t="b">
        <f t="shared" si="14"/>
        <v>1</v>
      </c>
      <c r="N177" s="12">
        <f t="shared" si="15"/>
        <v>195000</v>
      </c>
      <c r="O177" s="12" t="b">
        <f t="shared" si="16"/>
        <v>1</v>
      </c>
      <c r="P177" t="b">
        <f t="shared" si="17"/>
        <v>1</v>
      </c>
    </row>
    <row r="178" spans="1:16" ht="15" customHeight="1" x14ac:dyDescent="0.3">
      <c r="A178" s="2" t="s">
        <v>238</v>
      </c>
      <c r="B178" s="13">
        <v>45967</v>
      </c>
      <c r="C178" s="8" t="s">
        <v>16</v>
      </c>
      <c r="D178" s="2" t="s">
        <v>11</v>
      </c>
      <c r="E178" s="2" t="s">
        <v>12</v>
      </c>
      <c r="F178" s="2">
        <v>15</v>
      </c>
      <c r="G178" s="3">
        <v>172000</v>
      </c>
      <c r="H178" s="3">
        <f t="shared" si="12"/>
        <v>2580000</v>
      </c>
      <c r="I178" s="2" t="s">
        <v>19</v>
      </c>
      <c r="J178" s="2" t="s">
        <v>23</v>
      </c>
      <c r="K178" t="str">
        <f t="shared" si="13"/>
        <v>November</v>
      </c>
      <c r="M178" t="b">
        <f t="shared" si="14"/>
        <v>1</v>
      </c>
      <c r="N178" s="12">
        <f t="shared" si="15"/>
        <v>172000</v>
      </c>
      <c r="O178" s="12" t="b">
        <f t="shared" si="16"/>
        <v>1</v>
      </c>
      <c r="P178" t="b">
        <f t="shared" si="17"/>
        <v>1</v>
      </c>
    </row>
    <row r="179" spans="1:16" ht="15" customHeight="1" x14ac:dyDescent="0.3">
      <c r="A179" s="2" t="s">
        <v>100</v>
      </c>
      <c r="B179" s="13">
        <v>45968</v>
      </c>
      <c r="C179" s="8" t="s">
        <v>80</v>
      </c>
      <c r="D179" s="2" t="s">
        <v>17</v>
      </c>
      <c r="E179" s="2" t="s">
        <v>18</v>
      </c>
      <c r="F179" s="2">
        <v>25</v>
      </c>
      <c r="G179" s="3">
        <v>51000</v>
      </c>
      <c r="H179" s="3">
        <f t="shared" si="12"/>
        <v>1275000</v>
      </c>
      <c r="I179" s="2" t="s">
        <v>37</v>
      </c>
      <c r="J179" s="2" t="s">
        <v>23</v>
      </c>
      <c r="K179" t="str">
        <f t="shared" si="13"/>
        <v>November</v>
      </c>
      <c r="M179" t="b">
        <f t="shared" si="14"/>
        <v>1</v>
      </c>
      <c r="N179" s="12">
        <f t="shared" si="15"/>
        <v>51000</v>
      </c>
      <c r="O179" s="12" t="b">
        <f t="shared" si="16"/>
        <v>1</v>
      </c>
      <c r="P179" t="b">
        <f t="shared" si="17"/>
        <v>1</v>
      </c>
    </row>
    <row r="180" spans="1:16" ht="15" customHeight="1" x14ac:dyDescent="0.3">
      <c r="A180" s="2" t="s">
        <v>258</v>
      </c>
      <c r="B180" s="13">
        <v>45972</v>
      </c>
      <c r="C180" s="8" t="s">
        <v>51</v>
      </c>
      <c r="D180" s="2" t="s">
        <v>11</v>
      </c>
      <c r="E180" s="2" t="s">
        <v>75</v>
      </c>
      <c r="F180" s="2">
        <v>21</v>
      </c>
      <c r="G180" s="3">
        <v>78000</v>
      </c>
      <c r="H180" s="3">
        <f t="shared" si="12"/>
        <v>1638000</v>
      </c>
      <c r="I180" s="2" t="s">
        <v>37</v>
      </c>
      <c r="J180" s="2" t="s">
        <v>14</v>
      </c>
      <c r="K180" t="str">
        <f t="shared" si="13"/>
        <v>November</v>
      </c>
      <c r="M180" t="b">
        <f t="shared" si="14"/>
        <v>1</v>
      </c>
      <c r="N180" s="12">
        <f t="shared" si="15"/>
        <v>78000</v>
      </c>
      <c r="O180" s="12" t="b">
        <f t="shared" si="16"/>
        <v>1</v>
      </c>
      <c r="P180" t="b">
        <f t="shared" si="17"/>
        <v>1</v>
      </c>
    </row>
    <row r="181" spans="1:16" ht="15" customHeight="1" x14ac:dyDescent="0.3">
      <c r="A181" s="2" t="s">
        <v>145</v>
      </c>
      <c r="B181" s="13">
        <v>45974</v>
      </c>
      <c r="C181" s="8" t="s">
        <v>80</v>
      </c>
      <c r="D181" s="2" t="s">
        <v>48</v>
      </c>
      <c r="E181" s="2" t="s">
        <v>66</v>
      </c>
      <c r="F181" s="2">
        <v>23</v>
      </c>
      <c r="G181" s="3">
        <v>128000</v>
      </c>
      <c r="H181" s="3">
        <f t="shared" si="12"/>
        <v>2944000</v>
      </c>
      <c r="I181" s="2" t="s">
        <v>19</v>
      </c>
      <c r="J181" s="2" t="s">
        <v>59</v>
      </c>
      <c r="K181" t="str">
        <f t="shared" si="13"/>
        <v>November</v>
      </c>
      <c r="M181" t="b">
        <f t="shared" si="14"/>
        <v>1</v>
      </c>
      <c r="N181" s="12">
        <f t="shared" si="15"/>
        <v>128000</v>
      </c>
      <c r="O181" s="12" t="b">
        <f t="shared" si="16"/>
        <v>1</v>
      </c>
      <c r="P181" t="b">
        <f t="shared" si="17"/>
        <v>1</v>
      </c>
    </row>
    <row r="182" spans="1:16" ht="15" customHeight="1" x14ac:dyDescent="0.3">
      <c r="A182" s="2" t="s">
        <v>20</v>
      </c>
      <c r="B182" s="13">
        <v>45975</v>
      </c>
      <c r="C182" s="8" t="s">
        <v>21</v>
      </c>
      <c r="D182" s="2" t="s">
        <v>17</v>
      </c>
      <c r="E182" s="2" t="s">
        <v>22</v>
      </c>
      <c r="F182" s="2">
        <v>8</v>
      </c>
      <c r="G182" s="3">
        <v>52000</v>
      </c>
      <c r="H182" s="3">
        <f t="shared" si="12"/>
        <v>416000</v>
      </c>
      <c r="I182" s="2" t="s">
        <v>13</v>
      </c>
      <c r="J182" s="2" t="s">
        <v>23</v>
      </c>
      <c r="K182" t="str">
        <f t="shared" si="13"/>
        <v>November</v>
      </c>
      <c r="M182" t="b">
        <f t="shared" si="14"/>
        <v>1</v>
      </c>
      <c r="N182" s="12">
        <f t="shared" si="15"/>
        <v>52000</v>
      </c>
      <c r="O182" s="12" t="b">
        <f t="shared" si="16"/>
        <v>1</v>
      </c>
      <c r="P182" t="b">
        <f t="shared" si="17"/>
        <v>1</v>
      </c>
    </row>
    <row r="183" spans="1:16" ht="15" customHeight="1" x14ac:dyDescent="0.3">
      <c r="A183" s="2" t="s">
        <v>176</v>
      </c>
      <c r="B183" s="13">
        <v>45978</v>
      </c>
      <c r="C183" s="8" t="s">
        <v>45</v>
      </c>
      <c r="D183" s="2" t="s">
        <v>31</v>
      </c>
      <c r="E183" s="2" t="s">
        <v>121</v>
      </c>
      <c r="F183" s="2">
        <v>4</v>
      </c>
      <c r="G183" s="3">
        <v>102000</v>
      </c>
      <c r="H183" s="3">
        <f t="shared" si="12"/>
        <v>408000</v>
      </c>
      <c r="I183" s="2" t="s">
        <v>19</v>
      </c>
      <c r="J183" s="2" t="s">
        <v>23</v>
      </c>
      <c r="K183" t="str">
        <f t="shared" si="13"/>
        <v>November</v>
      </c>
      <c r="M183" t="b">
        <f t="shared" si="14"/>
        <v>1</v>
      </c>
      <c r="N183" s="12">
        <f t="shared" si="15"/>
        <v>102000</v>
      </c>
      <c r="O183" s="12" t="b">
        <f t="shared" si="16"/>
        <v>1</v>
      </c>
      <c r="P183" t="b">
        <f t="shared" si="17"/>
        <v>1</v>
      </c>
    </row>
    <row r="184" spans="1:16" ht="15" customHeight="1" x14ac:dyDescent="0.3">
      <c r="A184" s="2" t="s">
        <v>10</v>
      </c>
      <c r="B184" s="13">
        <v>45979</v>
      </c>
      <c r="C184" s="8" t="s">
        <v>21</v>
      </c>
      <c r="D184" s="2" t="s">
        <v>11</v>
      </c>
      <c r="E184" s="2" t="s">
        <v>12</v>
      </c>
      <c r="F184" s="2">
        <v>25</v>
      </c>
      <c r="G184" s="3">
        <v>112000</v>
      </c>
      <c r="H184" s="3">
        <f t="shared" si="12"/>
        <v>2800000</v>
      </c>
      <c r="I184" s="2" t="s">
        <v>13</v>
      </c>
      <c r="J184" s="2" t="s">
        <v>14</v>
      </c>
      <c r="K184" t="str">
        <f t="shared" si="13"/>
        <v>November</v>
      </c>
      <c r="M184" t="b">
        <f t="shared" si="14"/>
        <v>1</v>
      </c>
      <c r="N184" s="12">
        <f t="shared" si="15"/>
        <v>112000</v>
      </c>
      <c r="O184" s="12" t="b">
        <f t="shared" si="16"/>
        <v>1</v>
      </c>
      <c r="P184" t="b">
        <f t="shared" si="17"/>
        <v>1</v>
      </c>
    </row>
    <row r="185" spans="1:16" ht="15" customHeight="1" x14ac:dyDescent="0.3">
      <c r="A185" s="2" t="s">
        <v>78</v>
      </c>
      <c r="B185" s="13">
        <v>45979</v>
      </c>
      <c r="C185" s="8" t="s">
        <v>64</v>
      </c>
      <c r="D185" s="2" t="s">
        <v>55</v>
      </c>
      <c r="E185" s="2" t="s">
        <v>56</v>
      </c>
      <c r="F185" s="2">
        <v>2</v>
      </c>
      <c r="G185" s="3">
        <v>108000</v>
      </c>
      <c r="H185" s="3">
        <f t="shared" si="12"/>
        <v>216000</v>
      </c>
      <c r="I185" s="2" t="s">
        <v>19</v>
      </c>
      <c r="J185" s="2" t="s">
        <v>14</v>
      </c>
      <c r="K185" t="str">
        <f t="shared" si="13"/>
        <v>November</v>
      </c>
      <c r="M185" t="b">
        <f t="shared" si="14"/>
        <v>1</v>
      </c>
      <c r="N185" s="12">
        <f t="shared" si="15"/>
        <v>108000</v>
      </c>
      <c r="O185" s="12" t="b">
        <f t="shared" si="16"/>
        <v>1</v>
      </c>
      <c r="P185" t="b">
        <f t="shared" si="17"/>
        <v>1</v>
      </c>
    </row>
    <row r="186" spans="1:16" ht="15" customHeight="1" x14ac:dyDescent="0.3">
      <c r="A186" s="2" t="s">
        <v>152</v>
      </c>
      <c r="B186" s="13">
        <v>45983</v>
      </c>
      <c r="C186" s="8" t="s">
        <v>25</v>
      </c>
      <c r="D186" s="2" t="s">
        <v>31</v>
      </c>
      <c r="E186" s="2" t="s">
        <v>121</v>
      </c>
      <c r="F186" s="2">
        <v>6</v>
      </c>
      <c r="G186" s="3">
        <v>178000</v>
      </c>
      <c r="H186" s="3">
        <f t="shared" si="12"/>
        <v>1068000</v>
      </c>
      <c r="I186" s="2" t="s">
        <v>37</v>
      </c>
      <c r="J186" s="2" t="s">
        <v>23</v>
      </c>
      <c r="K186" t="str">
        <f t="shared" si="13"/>
        <v>November</v>
      </c>
      <c r="M186" t="b">
        <f t="shared" si="14"/>
        <v>1</v>
      </c>
      <c r="N186" s="12">
        <f t="shared" si="15"/>
        <v>178000</v>
      </c>
      <c r="O186" s="12" t="b">
        <f t="shared" si="16"/>
        <v>1</v>
      </c>
      <c r="P186" t="b">
        <f t="shared" si="17"/>
        <v>1</v>
      </c>
    </row>
    <row r="187" spans="1:16" ht="15" customHeight="1" x14ac:dyDescent="0.3">
      <c r="A187" s="2" t="s">
        <v>91</v>
      </c>
      <c r="B187" s="13">
        <v>45984</v>
      </c>
      <c r="C187" s="8" t="s">
        <v>35</v>
      </c>
      <c r="D187" s="2" t="s">
        <v>55</v>
      </c>
      <c r="E187" s="2" t="s">
        <v>92</v>
      </c>
      <c r="F187" s="2">
        <v>24</v>
      </c>
      <c r="G187" s="3">
        <v>18000</v>
      </c>
      <c r="H187" s="3">
        <f t="shared" si="12"/>
        <v>432000</v>
      </c>
      <c r="I187" s="2" t="s">
        <v>37</v>
      </c>
      <c r="J187" s="2" t="s">
        <v>23</v>
      </c>
      <c r="K187" t="str">
        <f t="shared" si="13"/>
        <v>November</v>
      </c>
      <c r="M187" t="b">
        <f t="shared" si="14"/>
        <v>1</v>
      </c>
      <c r="N187" s="12">
        <f t="shared" si="15"/>
        <v>18000</v>
      </c>
      <c r="O187" s="12" t="b">
        <f t="shared" si="16"/>
        <v>1</v>
      </c>
      <c r="P187" t="b">
        <f t="shared" si="17"/>
        <v>1</v>
      </c>
    </row>
    <row r="188" spans="1:16" ht="15" customHeight="1" x14ac:dyDescent="0.3">
      <c r="A188" s="2" t="s">
        <v>79</v>
      </c>
      <c r="B188" s="13">
        <v>45984</v>
      </c>
      <c r="C188" s="8" t="s">
        <v>80</v>
      </c>
      <c r="D188" s="2" t="s">
        <v>11</v>
      </c>
      <c r="E188" s="2" t="s">
        <v>12</v>
      </c>
      <c r="F188" s="2">
        <v>8</v>
      </c>
      <c r="G188" s="3">
        <v>155000</v>
      </c>
      <c r="H188" s="3">
        <f t="shared" si="12"/>
        <v>1240000</v>
      </c>
      <c r="I188" s="2" t="s">
        <v>37</v>
      </c>
      <c r="J188" s="2" t="s">
        <v>14</v>
      </c>
      <c r="K188" t="str">
        <f t="shared" si="13"/>
        <v>November</v>
      </c>
      <c r="M188" t="b">
        <f t="shared" si="14"/>
        <v>1</v>
      </c>
      <c r="N188" s="12">
        <f t="shared" si="15"/>
        <v>155000</v>
      </c>
      <c r="O188" s="12" t="b">
        <f t="shared" si="16"/>
        <v>1</v>
      </c>
      <c r="P188" t="b">
        <f t="shared" si="17"/>
        <v>1</v>
      </c>
    </row>
    <row r="189" spans="1:16" ht="15" customHeight="1" x14ac:dyDescent="0.3">
      <c r="A189" s="2" t="s">
        <v>167</v>
      </c>
      <c r="B189" s="13">
        <v>45985</v>
      </c>
      <c r="C189" s="8" t="s">
        <v>51</v>
      </c>
      <c r="D189" s="2" t="s">
        <v>31</v>
      </c>
      <c r="E189" s="2" t="s">
        <v>32</v>
      </c>
      <c r="F189" s="2">
        <v>25</v>
      </c>
      <c r="G189" s="3">
        <v>59000</v>
      </c>
      <c r="H189" s="3">
        <f t="shared" si="12"/>
        <v>1475000</v>
      </c>
      <c r="I189" s="2" t="s">
        <v>19</v>
      </c>
      <c r="J189" s="2" t="s">
        <v>14</v>
      </c>
      <c r="K189" t="str">
        <f t="shared" si="13"/>
        <v>November</v>
      </c>
      <c r="M189" t="b">
        <f t="shared" si="14"/>
        <v>1</v>
      </c>
      <c r="N189" s="12">
        <f t="shared" si="15"/>
        <v>59000</v>
      </c>
      <c r="O189" s="12" t="b">
        <f t="shared" si="16"/>
        <v>1</v>
      </c>
      <c r="P189" t="b">
        <f t="shared" si="17"/>
        <v>1</v>
      </c>
    </row>
    <row r="190" spans="1:16" ht="15" customHeight="1" x14ac:dyDescent="0.3">
      <c r="A190" s="2" t="s">
        <v>254</v>
      </c>
      <c r="B190" s="13">
        <v>45985</v>
      </c>
      <c r="C190" s="8" t="s">
        <v>28</v>
      </c>
      <c r="D190" s="2" t="s">
        <v>11</v>
      </c>
      <c r="E190" s="2" t="s">
        <v>12</v>
      </c>
      <c r="F190" s="2">
        <v>9</v>
      </c>
      <c r="G190" s="3">
        <v>97000</v>
      </c>
      <c r="H190" s="3">
        <f t="shared" si="12"/>
        <v>873000</v>
      </c>
      <c r="I190" s="2" t="s">
        <v>37</v>
      </c>
      <c r="J190" s="2" t="s">
        <v>14</v>
      </c>
      <c r="K190" t="str">
        <f t="shared" si="13"/>
        <v>November</v>
      </c>
      <c r="M190" t="b">
        <f t="shared" si="14"/>
        <v>1</v>
      </c>
      <c r="N190" s="12">
        <f t="shared" si="15"/>
        <v>97000</v>
      </c>
      <c r="O190" s="12" t="b">
        <f t="shared" si="16"/>
        <v>1</v>
      </c>
      <c r="P190" t="b">
        <f t="shared" si="17"/>
        <v>1</v>
      </c>
    </row>
    <row r="191" spans="1:16" ht="15" customHeight="1" x14ac:dyDescent="0.3">
      <c r="A191" s="2" t="s">
        <v>87</v>
      </c>
      <c r="B191" s="13">
        <v>45985</v>
      </c>
      <c r="C191" s="8" t="s">
        <v>64</v>
      </c>
      <c r="D191" s="2" t="s">
        <v>17</v>
      </c>
      <c r="E191" s="2" t="s">
        <v>46</v>
      </c>
      <c r="F191" s="2">
        <v>21</v>
      </c>
      <c r="G191" s="3">
        <v>71000</v>
      </c>
      <c r="H191" s="3">
        <f t="shared" si="12"/>
        <v>1491000</v>
      </c>
      <c r="I191" s="2" t="s">
        <v>33</v>
      </c>
      <c r="J191" s="2" t="s">
        <v>14</v>
      </c>
      <c r="K191" t="str">
        <f t="shared" si="13"/>
        <v>November</v>
      </c>
      <c r="M191" t="b">
        <f t="shared" si="14"/>
        <v>1</v>
      </c>
      <c r="N191" s="12">
        <f t="shared" si="15"/>
        <v>71000</v>
      </c>
      <c r="O191" s="12" t="b">
        <f t="shared" si="16"/>
        <v>1</v>
      </c>
      <c r="P191" t="b">
        <f t="shared" si="17"/>
        <v>1</v>
      </c>
    </row>
    <row r="192" spans="1:16" ht="15" customHeight="1" x14ac:dyDescent="0.3">
      <c r="A192" s="2" t="s">
        <v>168</v>
      </c>
      <c r="B192" s="13">
        <v>45987</v>
      </c>
      <c r="C192" s="8" t="s">
        <v>64</v>
      </c>
      <c r="D192" s="2" t="s">
        <v>11</v>
      </c>
      <c r="E192" s="2" t="s">
        <v>39</v>
      </c>
      <c r="F192" s="2">
        <v>13</v>
      </c>
      <c r="G192" s="3">
        <v>144000</v>
      </c>
      <c r="H192" s="3">
        <f t="shared" si="12"/>
        <v>1872000</v>
      </c>
      <c r="I192" s="2" t="s">
        <v>13</v>
      </c>
      <c r="J192" s="2" t="s">
        <v>14</v>
      </c>
      <c r="K192" t="str">
        <f t="shared" si="13"/>
        <v>November</v>
      </c>
      <c r="M192" t="b">
        <f t="shared" si="14"/>
        <v>1</v>
      </c>
      <c r="N192" s="12">
        <f t="shared" si="15"/>
        <v>144000</v>
      </c>
      <c r="O192" s="12" t="b">
        <f t="shared" si="16"/>
        <v>1</v>
      </c>
      <c r="P192" t="b">
        <f t="shared" si="17"/>
        <v>1</v>
      </c>
    </row>
    <row r="193" spans="1:16" ht="15" customHeight="1" x14ac:dyDescent="0.3">
      <c r="A193" s="2" t="s">
        <v>165</v>
      </c>
      <c r="B193" s="13">
        <v>45988</v>
      </c>
      <c r="C193" s="8" t="s">
        <v>35</v>
      </c>
      <c r="D193" s="2" t="s">
        <v>55</v>
      </c>
      <c r="E193" s="2" t="s">
        <v>56</v>
      </c>
      <c r="F193" s="2">
        <v>15</v>
      </c>
      <c r="G193" s="3">
        <v>25000</v>
      </c>
      <c r="H193" s="3">
        <f t="shared" si="12"/>
        <v>375000</v>
      </c>
      <c r="I193" s="2" t="s">
        <v>19</v>
      </c>
      <c r="J193" s="2" t="s">
        <v>14</v>
      </c>
      <c r="K193" t="str">
        <f t="shared" si="13"/>
        <v>November</v>
      </c>
      <c r="M193" t="b">
        <f t="shared" si="14"/>
        <v>1</v>
      </c>
      <c r="N193" s="12">
        <f t="shared" si="15"/>
        <v>25000</v>
      </c>
      <c r="O193" s="12" t="b">
        <f t="shared" si="16"/>
        <v>1</v>
      </c>
      <c r="P193" t="b">
        <f t="shared" si="17"/>
        <v>1</v>
      </c>
    </row>
    <row r="194" spans="1:16" ht="15" customHeight="1" x14ac:dyDescent="0.3">
      <c r="A194" s="2" t="s">
        <v>187</v>
      </c>
      <c r="B194" s="13">
        <v>45990</v>
      </c>
      <c r="C194" s="8" t="s">
        <v>16</v>
      </c>
      <c r="D194" s="2" t="s">
        <v>31</v>
      </c>
      <c r="E194" s="2" t="s">
        <v>84</v>
      </c>
      <c r="F194" s="2">
        <v>1</v>
      </c>
      <c r="G194" s="3">
        <v>92000</v>
      </c>
      <c r="H194" s="3">
        <f t="shared" ref="H194:H221" si="18">F194*G194</f>
        <v>92000</v>
      </c>
      <c r="I194" s="2" t="s">
        <v>37</v>
      </c>
      <c r="J194" s="2" t="s">
        <v>14</v>
      </c>
      <c r="K194" t="str">
        <f t="shared" ref="K194:K221" si="19">TEXT(B194,"MMMM")</f>
        <v>November</v>
      </c>
      <c r="M194" t="b">
        <f t="shared" si="14"/>
        <v>1</v>
      </c>
      <c r="N194" s="12">
        <f t="shared" si="15"/>
        <v>92000</v>
      </c>
      <c r="O194" s="12" t="b">
        <f t="shared" si="16"/>
        <v>1</v>
      </c>
      <c r="P194" t="b">
        <f t="shared" si="17"/>
        <v>1</v>
      </c>
    </row>
    <row r="195" spans="1:16" ht="15" customHeight="1" x14ac:dyDescent="0.3">
      <c r="A195" s="2" t="s">
        <v>159</v>
      </c>
      <c r="B195" s="13">
        <v>45991</v>
      </c>
      <c r="C195" s="9" t="s">
        <v>277</v>
      </c>
      <c r="D195" s="2" t="s">
        <v>55</v>
      </c>
      <c r="E195" s="2" t="s">
        <v>117</v>
      </c>
      <c r="F195" s="2">
        <v>19</v>
      </c>
      <c r="G195" s="3">
        <v>26000</v>
      </c>
      <c r="H195" s="3">
        <f t="shared" si="18"/>
        <v>494000</v>
      </c>
      <c r="I195" s="2" t="s">
        <v>33</v>
      </c>
      <c r="J195" s="2" t="s">
        <v>14</v>
      </c>
      <c r="K195" t="str">
        <f t="shared" si="19"/>
        <v>November</v>
      </c>
      <c r="M195" t="b">
        <f t="shared" ref="M195:M221" si="20">ISNUMBER(F195)</f>
        <v>1</v>
      </c>
      <c r="N195" s="12">
        <f t="shared" ref="N195:N221" si="21">VALUE(SUBSTITUTE(SUBSTITUTE(G195,"Rp",""),",",""))</f>
        <v>26000</v>
      </c>
      <c r="O195" s="12" t="b">
        <f t="shared" ref="O195:O221" si="22">AND(B195&gt;=DATE(2025,1,1), B195&lt;=DATE(2025,12,31))</f>
        <v>1</v>
      </c>
      <c r="P195" t="b">
        <f t="shared" ref="P195:P221" si="23">ROUND(F195*G195,0)=ROUND(H195,0)</f>
        <v>1</v>
      </c>
    </row>
    <row r="196" spans="1:16" ht="15" customHeight="1" x14ac:dyDescent="0.3">
      <c r="A196" s="2" t="s">
        <v>83</v>
      </c>
      <c r="B196" s="13">
        <v>45992</v>
      </c>
      <c r="C196" s="8" t="s">
        <v>80</v>
      </c>
      <c r="D196" s="2" t="s">
        <v>31</v>
      </c>
      <c r="E196" s="2" t="s">
        <v>84</v>
      </c>
      <c r="F196" s="2">
        <v>22</v>
      </c>
      <c r="G196" s="3">
        <v>164000</v>
      </c>
      <c r="H196" s="3">
        <f t="shared" si="18"/>
        <v>3608000</v>
      </c>
      <c r="I196" s="2" t="s">
        <v>37</v>
      </c>
      <c r="J196" s="2" t="s">
        <v>59</v>
      </c>
      <c r="K196" t="str">
        <f t="shared" si="19"/>
        <v>December</v>
      </c>
      <c r="M196" t="b">
        <f t="shared" si="20"/>
        <v>1</v>
      </c>
      <c r="N196" s="12">
        <f t="shared" si="21"/>
        <v>164000</v>
      </c>
      <c r="O196" s="12" t="b">
        <f t="shared" si="22"/>
        <v>1</v>
      </c>
      <c r="P196" t="b">
        <f t="shared" si="23"/>
        <v>1</v>
      </c>
    </row>
    <row r="197" spans="1:16" ht="15" customHeight="1" x14ac:dyDescent="0.3">
      <c r="A197" s="2" t="s">
        <v>212</v>
      </c>
      <c r="B197" s="13">
        <v>45992</v>
      </c>
      <c r="C197" s="8" t="s">
        <v>25</v>
      </c>
      <c r="D197" s="2" t="s">
        <v>55</v>
      </c>
      <c r="E197" s="2" t="s">
        <v>92</v>
      </c>
      <c r="F197" s="2">
        <v>1</v>
      </c>
      <c r="G197" s="3">
        <v>32000</v>
      </c>
      <c r="H197" s="3">
        <f t="shared" si="18"/>
        <v>32000</v>
      </c>
      <c r="I197" s="2" t="s">
        <v>19</v>
      </c>
      <c r="J197" s="2" t="s">
        <v>23</v>
      </c>
      <c r="K197" t="str">
        <f t="shared" si="19"/>
        <v>December</v>
      </c>
      <c r="M197" t="b">
        <f t="shared" si="20"/>
        <v>1</v>
      </c>
      <c r="N197" s="12">
        <f t="shared" si="21"/>
        <v>32000</v>
      </c>
      <c r="O197" s="12" t="b">
        <f t="shared" si="22"/>
        <v>1</v>
      </c>
      <c r="P197" t="b">
        <f t="shared" si="23"/>
        <v>1</v>
      </c>
    </row>
    <row r="198" spans="1:16" ht="15" customHeight="1" x14ac:dyDescent="0.3">
      <c r="A198" s="2" t="s">
        <v>247</v>
      </c>
      <c r="B198" s="13">
        <v>45993</v>
      </c>
      <c r="C198" s="8" t="s">
        <v>45</v>
      </c>
      <c r="D198" s="2" t="s">
        <v>48</v>
      </c>
      <c r="E198" s="2" t="s">
        <v>66</v>
      </c>
      <c r="F198" s="2">
        <v>24</v>
      </c>
      <c r="G198" s="3">
        <v>110000</v>
      </c>
      <c r="H198" s="3">
        <f t="shared" si="18"/>
        <v>2640000</v>
      </c>
      <c r="I198" s="2" t="s">
        <v>37</v>
      </c>
      <c r="J198" s="2" t="s">
        <v>23</v>
      </c>
      <c r="K198" t="str">
        <f t="shared" si="19"/>
        <v>December</v>
      </c>
      <c r="M198" t="b">
        <f t="shared" si="20"/>
        <v>1</v>
      </c>
      <c r="N198" s="12">
        <f t="shared" si="21"/>
        <v>110000</v>
      </c>
      <c r="O198" s="12" t="b">
        <f t="shared" si="22"/>
        <v>1</v>
      </c>
      <c r="P198" t="b">
        <f t="shared" si="23"/>
        <v>1</v>
      </c>
    </row>
    <row r="199" spans="1:16" ht="15" customHeight="1" x14ac:dyDescent="0.3">
      <c r="A199" s="2" t="s">
        <v>200</v>
      </c>
      <c r="B199" s="13">
        <v>45993</v>
      </c>
      <c r="C199" s="8" t="s">
        <v>64</v>
      </c>
      <c r="D199" s="2" t="s">
        <v>11</v>
      </c>
      <c r="E199" s="2" t="s">
        <v>39</v>
      </c>
      <c r="F199" s="2">
        <v>8</v>
      </c>
      <c r="G199" s="3">
        <v>80000</v>
      </c>
      <c r="H199" s="3">
        <f t="shared" si="18"/>
        <v>640000</v>
      </c>
      <c r="I199" s="2" t="s">
        <v>26</v>
      </c>
      <c r="J199" s="2" t="s">
        <v>59</v>
      </c>
      <c r="K199" t="str">
        <f t="shared" si="19"/>
        <v>December</v>
      </c>
      <c r="M199" t="b">
        <f t="shared" si="20"/>
        <v>1</v>
      </c>
      <c r="N199" s="12">
        <f t="shared" si="21"/>
        <v>80000</v>
      </c>
      <c r="O199" s="12" t="b">
        <f t="shared" si="22"/>
        <v>1</v>
      </c>
      <c r="P199" t="b">
        <f t="shared" si="23"/>
        <v>1</v>
      </c>
    </row>
    <row r="200" spans="1:16" ht="15" customHeight="1" x14ac:dyDescent="0.3">
      <c r="A200" s="2" t="s">
        <v>107</v>
      </c>
      <c r="B200" s="13">
        <v>45994</v>
      </c>
      <c r="C200" s="8" t="s">
        <v>28</v>
      </c>
      <c r="D200" s="2" t="s">
        <v>48</v>
      </c>
      <c r="E200" s="2" t="s">
        <v>89</v>
      </c>
      <c r="F200" s="2">
        <v>5</v>
      </c>
      <c r="G200" s="3">
        <v>134000</v>
      </c>
      <c r="H200" s="3">
        <f t="shared" si="18"/>
        <v>670000</v>
      </c>
      <c r="I200" s="2" t="s">
        <v>26</v>
      </c>
      <c r="J200" s="2" t="s">
        <v>23</v>
      </c>
      <c r="K200" t="str">
        <f t="shared" si="19"/>
        <v>December</v>
      </c>
      <c r="M200" t="b">
        <f t="shared" si="20"/>
        <v>1</v>
      </c>
      <c r="N200" s="12">
        <f t="shared" si="21"/>
        <v>134000</v>
      </c>
      <c r="O200" s="12" t="b">
        <f t="shared" si="22"/>
        <v>1</v>
      </c>
      <c r="P200" t="b">
        <f t="shared" si="23"/>
        <v>1</v>
      </c>
    </row>
    <row r="201" spans="1:16" ht="15" customHeight="1" x14ac:dyDescent="0.3">
      <c r="A201" s="2" t="s">
        <v>108</v>
      </c>
      <c r="B201" s="13">
        <v>45997</v>
      </c>
      <c r="C201" s="8" t="s">
        <v>28</v>
      </c>
      <c r="D201" s="2" t="s">
        <v>31</v>
      </c>
      <c r="E201" s="2" t="s">
        <v>32</v>
      </c>
      <c r="F201" s="2">
        <v>4</v>
      </c>
      <c r="G201" s="3">
        <v>84000</v>
      </c>
      <c r="H201" s="3">
        <f t="shared" si="18"/>
        <v>336000</v>
      </c>
      <c r="I201" s="2" t="s">
        <v>26</v>
      </c>
      <c r="J201" s="2" t="s">
        <v>23</v>
      </c>
      <c r="K201" t="str">
        <f t="shared" si="19"/>
        <v>December</v>
      </c>
      <c r="M201" t="b">
        <f t="shared" si="20"/>
        <v>1</v>
      </c>
      <c r="N201" s="12">
        <f t="shared" si="21"/>
        <v>84000</v>
      </c>
      <c r="O201" s="12" t="b">
        <f t="shared" si="22"/>
        <v>1</v>
      </c>
      <c r="P201" t="b">
        <f t="shared" si="23"/>
        <v>1</v>
      </c>
    </row>
    <row r="202" spans="1:16" ht="15" customHeight="1" x14ac:dyDescent="0.3">
      <c r="A202" s="2" t="s">
        <v>137</v>
      </c>
      <c r="B202" s="13">
        <v>45997</v>
      </c>
      <c r="C202" s="8" t="s">
        <v>25</v>
      </c>
      <c r="D202" s="2" t="s">
        <v>48</v>
      </c>
      <c r="E202" s="2" t="s">
        <v>77</v>
      </c>
      <c r="F202" s="2">
        <v>11</v>
      </c>
      <c r="G202" s="3">
        <v>99000</v>
      </c>
      <c r="H202" s="3">
        <f t="shared" si="18"/>
        <v>1089000</v>
      </c>
      <c r="I202" s="2" t="s">
        <v>19</v>
      </c>
      <c r="J202" s="2" t="s">
        <v>23</v>
      </c>
      <c r="K202" t="str">
        <f t="shared" si="19"/>
        <v>December</v>
      </c>
      <c r="M202" t="b">
        <f t="shared" si="20"/>
        <v>1</v>
      </c>
      <c r="N202" s="12">
        <f t="shared" si="21"/>
        <v>99000</v>
      </c>
      <c r="O202" s="12" t="b">
        <f t="shared" si="22"/>
        <v>1</v>
      </c>
      <c r="P202" t="b">
        <f t="shared" si="23"/>
        <v>1</v>
      </c>
    </row>
    <row r="203" spans="1:16" ht="15" customHeight="1" x14ac:dyDescent="0.3">
      <c r="A203" s="2" t="s">
        <v>184</v>
      </c>
      <c r="B203" s="13">
        <v>45998</v>
      </c>
      <c r="C203" s="8" t="s">
        <v>35</v>
      </c>
      <c r="D203" s="2" t="s">
        <v>31</v>
      </c>
      <c r="E203" s="2" t="s">
        <v>70</v>
      </c>
      <c r="F203" s="2">
        <v>19</v>
      </c>
      <c r="G203" s="3">
        <v>148000</v>
      </c>
      <c r="H203" s="3">
        <f t="shared" si="18"/>
        <v>2812000</v>
      </c>
      <c r="I203" s="2" t="s">
        <v>19</v>
      </c>
      <c r="J203" s="2" t="s">
        <v>14</v>
      </c>
      <c r="K203" t="str">
        <f t="shared" si="19"/>
        <v>December</v>
      </c>
      <c r="M203" t="b">
        <f t="shared" si="20"/>
        <v>1</v>
      </c>
      <c r="N203" s="12">
        <f t="shared" si="21"/>
        <v>148000</v>
      </c>
      <c r="O203" s="12" t="b">
        <f t="shared" si="22"/>
        <v>1</v>
      </c>
      <c r="P203" t="b">
        <f t="shared" si="23"/>
        <v>1</v>
      </c>
    </row>
    <row r="204" spans="1:16" ht="15" customHeight="1" x14ac:dyDescent="0.3">
      <c r="A204" s="2" t="s">
        <v>153</v>
      </c>
      <c r="B204" s="13">
        <v>46000</v>
      </c>
      <c r="C204" s="8" t="s">
        <v>35</v>
      </c>
      <c r="D204" s="2" t="s">
        <v>55</v>
      </c>
      <c r="E204" s="2" t="s">
        <v>58</v>
      </c>
      <c r="F204" s="2">
        <v>16</v>
      </c>
      <c r="G204" s="3">
        <v>77000</v>
      </c>
      <c r="H204" s="3">
        <f t="shared" si="18"/>
        <v>1232000</v>
      </c>
      <c r="I204" s="2" t="s">
        <v>19</v>
      </c>
      <c r="J204" s="2" t="s">
        <v>14</v>
      </c>
      <c r="K204" t="str">
        <f t="shared" si="19"/>
        <v>December</v>
      </c>
      <c r="M204" t="b">
        <f t="shared" si="20"/>
        <v>1</v>
      </c>
      <c r="N204" s="12">
        <f t="shared" si="21"/>
        <v>77000</v>
      </c>
      <c r="O204" s="12" t="b">
        <f t="shared" si="22"/>
        <v>1</v>
      </c>
      <c r="P204" t="b">
        <f t="shared" si="23"/>
        <v>1</v>
      </c>
    </row>
    <row r="205" spans="1:16" ht="15" customHeight="1" x14ac:dyDescent="0.3">
      <c r="A205" s="2" t="s">
        <v>73</v>
      </c>
      <c r="B205" s="13">
        <v>46001</v>
      </c>
      <c r="C205" s="8" t="s">
        <v>28</v>
      </c>
      <c r="D205" s="2" t="s">
        <v>31</v>
      </c>
      <c r="E205" s="2" t="s">
        <v>32</v>
      </c>
      <c r="F205" s="2">
        <v>14</v>
      </c>
      <c r="G205" s="3">
        <v>171000</v>
      </c>
      <c r="H205" s="3">
        <f t="shared" si="18"/>
        <v>2394000</v>
      </c>
      <c r="I205" s="2" t="s">
        <v>37</v>
      </c>
      <c r="J205" s="2" t="s">
        <v>14</v>
      </c>
      <c r="K205" t="str">
        <f t="shared" si="19"/>
        <v>December</v>
      </c>
      <c r="M205" t="b">
        <f t="shared" si="20"/>
        <v>1</v>
      </c>
      <c r="N205" s="12">
        <f t="shared" si="21"/>
        <v>171000</v>
      </c>
      <c r="O205" s="12" t="b">
        <f t="shared" si="22"/>
        <v>1</v>
      </c>
      <c r="P205" t="b">
        <f t="shared" si="23"/>
        <v>1</v>
      </c>
    </row>
    <row r="206" spans="1:16" ht="15" customHeight="1" x14ac:dyDescent="0.3">
      <c r="A206" s="2" t="s">
        <v>260</v>
      </c>
      <c r="B206" s="13">
        <v>46005</v>
      </c>
      <c r="C206" s="8" t="s">
        <v>25</v>
      </c>
      <c r="D206" s="2" t="s">
        <v>55</v>
      </c>
      <c r="E206" s="2" t="s">
        <v>97</v>
      </c>
      <c r="F206" s="2">
        <v>15</v>
      </c>
      <c r="G206" s="3">
        <v>88000</v>
      </c>
      <c r="H206" s="3">
        <f t="shared" si="18"/>
        <v>1320000</v>
      </c>
      <c r="I206" s="2" t="s">
        <v>19</v>
      </c>
      <c r="J206" s="2" t="s">
        <v>14</v>
      </c>
      <c r="K206" t="str">
        <f t="shared" si="19"/>
        <v>December</v>
      </c>
      <c r="M206" t="b">
        <f t="shared" si="20"/>
        <v>1</v>
      </c>
      <c r="N206" s="12">
        <f t="shared" si="21"/>
        <v>88000</v>
      </c>
      <c r="O206" s="12" t="b">
        <f t="shared" si="22"/>
        <v>1</v>
      </c>
      <c r="P206" t="b">
        <f t="shared" si="23"/>
        <v>1</v>
      </c>
    </row>
    <row r="207" spans="1:16" ht="15" customHeight="1" x14ac:dyDescent="0.3">
      <c r="A207" s="2" t="s">
        <v>162</v>
      </c>
      <c r="B207" s="13">
        <v>46006</v>
      </c>
      <c r="C207" s="8" t="s">
        <v>16</v>
      </c>
      <c r="D207" s="2" t="s">
        <v>48</v>
      </c>
      <c r="E207" s="2" t="s">
        <v>77</v>
      </c>
      <c r="F207" s="2">
        <v>7</v>
      </c>
      <c r="G207" s="3">
        <v>58000</v>
      </c>
      <c r="H207" s="3">
        <f t="shared" si="18"/>
        <v>406000</v>
      </c>
      <c r="I207" s="2" t="s">
        <v>19</v>
      </c>
      <c r="J207" s="2" t="s">
        <v>23</v>
      </c>
      <c r="K207" t="str">
        <f t="shared" si="19"/>
        <v>December</v>
      </c>
      <c r="M207" t="b">
        <f t="shared" si="20"/>
        <v>1</v>
      </c>
      <c r="N207" s="12">
        <f t="shared" si="21"/>
        <v>58000</v>
      </c>
      <c r="O207" s="12" t="b">
        <f t="shared" si="22"/>
        <v>1</v>
      </c>
      <c r="P207" t="b">
        <f t="shared" si="23"/>
        <v>1</v>
      </c>
    </row>
    <row r="208" spans="1:16" ht="15" customHeight="1" x14ac:dyDescent="0.3">
      <c r="A208" s="2" t="s">
        <v>229</v>
      </c>
      <c r="B208" s="13">
        <v>46008</v>
      </c>
      <c r="C208" s="8" t="s">
        <v>25</v>
      </c>
      <c r="D208" s="2" t="s">
        <v>17</v>
      </c>
      <c r="E208" s="2" t="s">
        <v>22</v>
      </c>
      <c r="F208" s="2">
        <v>5</v>
      </c>
      <c r="G208" s="3">
        <v>57000</v>
      </c>
      <c r="H208" s="3">
        <f t="shared" si="18"/>
        <v>285000</v>
      </c>
      <c r="I208" s="2" t="s">
        <v>13</v>
      </c>
      <c r="J208" s="2" t="s">
        <v>23</v>
      </c>
      <c r="K208" t="str">
        <f t="shared" si="19"/>
        <v>December</v>
      </c>
      <c r="M208" t="b">
        <f t="shared" si="20"/>
        <v>1</v>
      </c>
      <c r="N208" s="12">
        <f t="shared" si="21"/>
        <v>57000</v>
      </c>
      <c r="O208" s="12" t="b">
        <f t="shared" si="22"/>
        <v>1</v>
      </c>
      <c r="P208" t="b">
        <f t="shared" si="23"/>
        <v>1</v>
      </c>
    </row>
    <row r="209" spans="1:16" ht="15" customHeight="1" x14ac:dyDescent="0.3">
      <c r="A209" s="2" t="s">
        <v>24</v>
      </c>
      <c r="B209" s="13">
        <v>46011</v>
      </c>
      <c r="C209" s="8" t="s">
        <v>25</v>
      </c>
      <c r="D209" s="2" t="s">
        <v>17</v>
      </c>
      <c r="E209" s="2" t="s">
        <v>18</v>
      </c>
      <c r="F209" s="2">
        <v>1</v>
      </c>
      <c r="G209" s="3">
        <v>71000</v>
      </c>
      <c r="H209" s="3">
        <f t="shared" si="18"/>
        <v>71000</v>
      </c>
      <c r="I209" s="2" t="s">
        <v>26</v>
      </c>
      <c r="J209" s="2" t="s">
        <v>14</v>
      </c>
      <c r="K209" t="str">
        <f t="shared" si="19"/>
        <v>December</v>
      </c>
      <c r="M209" t="b">
        <f t="shared" si="20"/>
        <v>1</v>
      </c>
      <c r="N209" s="12">
        <f t="shared" si="21"/>
        <v>71000</v>
      </c>
      <c r="O209" s="12" t="b">
        <f t="shared" si="22"/>
        <v>1</v>
      </c>
      <c r="P209" t="b">
        <f t="shared" si="23"/>
        <v>1</v>
      </c>
    </row>
    <row r="210" spans="1:16" ht="15" customHeight="1" x14ac:dyDescent="0.3">
      <c r="A210" s="2" t="s">
        <v>82</v>
      </c>
      <c r="B210" s="13">
        <v>46011</v>
      </c>
      <c r="C210" s="8" t="s">
        <v>42</v>
      </c>
      <c r="D210" s="2" t="s">
        <v>48</v>
      </c>
      <c r="E210" s="2" t="s">
        <v>49</v>
      </c>
      <c r="F210" s="2">
        <v>12</v>
      </c>
      <c r="G210" s="3">
        <v>35000</v>
      </c>
      <c r="H210" s="3">
        <f t="shared" si="18"/>
        <v>420000</v>
      </c>
      <c r="I210" s="2" t="s">
        <v>19</v>
      </c>
      <c r="J210" s="2" t="s">
        <v>14</v>
      </c>
      <c r="K210" t="str">
        <f t="shared" si="19"/>
        <v>December</v>
      </c>
      <c r="M210" t="b">
        <f t="shared" si="20"/>
        <v>1</v>
      </c>
      <c r="N210" s="12">
        <f t="shared" si="21"/>
        <v>35000</v>
      </c>
      <c r="O210" s="12" t="b">
        <f t="shared" si="22"/>
        <v>1</v>
      </c>
      <c r="P210" t="b">
        <f t="shared" si="23"/>
        <v>1</v>
      </c>
    </row>
    <row r="211" spans="1:16" ht="15" customHeight="1" x14ac:dyDescent="0.3">
      <c r="A211" s="2" t="s">
        <v>146</v>
      </c>
      <c r="B211" s="13">
        <v>46011</v>
      </c>
      <c r="C211" s="8" t="s">
        <v>21</v>
      </c>
      <c r="D211" s="2" t="s">
        <v>55</v>
      </c>
      <c r="E211" s="2" t="s">
        <v>56</v>
      </c>
      <c r="F211" s="2">
        <v>22</v>
      </c>
      <c r="G211" s="3">
        <v>71000</v>
      </c>
      <c r="H211" s="3">
        <f t="shared" si="18"/>
        <v>1562000</v>
      </c>
      <c r="I211" s="2" t="s">
        <v>13</v>
      </c>
      <c r="J211" s="2" t="s">
        <v>14</v>
      </c>
      <c r="K211" t="str">
        <f t="shared" si="19"/>
        <v>December</v>
      </c>
      <c r="M211" t="b">
        <f t="shared" si="20"/>
        <v>1</v>
      </c>
      <c r="N211" s="12">
        <f t="shared" si="21"/>
        <v>71000</v>
      </c>
      <c r="O211" s="12" t="b">
        <f t="shared" si="22"/>
        <v>1</v>
      </c>
      <c r="P211" t="b">
        <f t="shared" si="23"/>
        <v>1</v>
      </c>
    </row>
    <row r="212" spans="1:16" ht="15" customHeight="1" x14ac:dyDescent="0.3">
      <c r="A212" s="2" t="s">
        <v>204</v>
      </c>
      <c r="B212" s="13">
        <v>46012</v>
      </c>
      <c r="C212" s="8" t="s">
        <v>45</v>
      </c>
      <c r="D212" s="2" t="s">
        <v>31</v>
      </c>
      <c r="E212" s="2" t="s">
        <v>121</v>
      </c>
      <c r="F212" s="2">
        <v>2</v>
      </c>
      <c r="G212" s="3">
        <v>138000</v>
      </c>
      <c r="H212" s="3">
        <f t="shared" si="18"/>
        <v>276000</v>
      </c>
      <c r="I212" s="2" t="s">
        <v>37</v>
      </c>
      <c r="J212" s="2" t="s">
        <v>14</v>
      </c>
      <c r="K212" t="str">
        <f t="shared" si="19"/>
        <v>December</v>
      </c>
      <c r="M212" t="b">
        <f t="shared" si="20"/>
        <v>1</v>
      </c>
      <c r="N212" s="12">
        <f t="shared" si="21"/>
        <v>138000</v>
      </c>
      <c r="O212" s="12" t="b">
        <f t="shared" si="22"/>
        <v>1</v>
      </c>
      <c r="P212" t="b">
        <f t="shared" si="23"/>
        <v>1</v>
      </c>
    </row>
    <row r="213" spans="1:16" ht="15" customHeight="1" x14ac:dyDescent="0.3">
      <c r="A213" s="2" t="s">
        <v>191</v>
      </c>
      <c r="B213" s="13">
        <v>46013</v>
      </c>
      <c r="C213" s="8" t="s">
        <v>16</v>
      </c>
      <c r="D213" s="2" t="s">
        <v>11</v>
      </c>
      <c r="E213" s="2" t="s">
        <v>61</v>
      </c>
      <c r="F213" s="2">
        <v>9</v>
      </c>
      <c r="G213" s="3">
        <v>214000</v>
      </c>
      <c r="H213" s="3">
        <f t="shared" si="18"/>
        <v>1926000</v>
      </c>
      <c r="I213" s="2" t="s">
        <v>26</v>
      </c>
      <c r="J213" s="2" t="s">
        <v>23</v>
      </c>
      <c r="K213" t="str">
        <f t="shared" si="19"/>
        <v>December</v>
      </c>
      <c r="M213" t="b">
        <f t="shared" si="20"/>
        <v>1</v>
      </c>
      <c r="N213" s="12">
        <f t="shared" si="21"/>
        <v>214000</v>
      </c>
      <c r="O213" s="12" t="b">
        <f t="shared" si="22"/>
        <v>1</v>
      </c>
      <c r="P213" t="b">
        <f t="shared" si="23"/>
        <v>1</v>
      </c>
    </row>
    <row r="214" spans="1:16" ht="15" customHeight="1" x14ac:dyDescent="0.3">
      <c r="A214" s="2" t="s">
        <v>216</v>
      </c>
      <c r="B214" s="13">
        <v>46016</v>
      </c>
      <c r="C214" s="8" t="s">
        <v>16</v>
      </c>
      <c r="D214" s="2" t="s">
        <v>11</v>
      </c>
      <c r="E214" s="2" t="s">
        <v>12</v>
      </c>
      <c r="F214" s="2">
        <v>13</v>
      </c>
      <c r="G214" s="3">
        <v>105000</v>
      </c>
      <c r="H214" s="3">
        <f t="shared" si="18"/>
        <v>1365000</v>
      </c>
      <c r="I214" s="2" t="s">
        <v>37</v>
      </c>
      <c r="J214" s="2" t="s">
        <v>23</v>
      </c>
      <c r="K214" t="str">
        <f t="shared" si="19"/>
        <v>December</v>
      </c>
      <c r="M214" t="b">
        <f t="shared" si="20"/>
        <v>1</v>
      </c>
      <c r="N214" s="12">
        <f t="shared" si="21"/>
        <v>105000</v>
      </c>
      <c r="O214" s="12" t="b">
        <f t="shared" si="22"/>
        <v>1</v>
      </c>
      <c r="P214" t="b">
        <f t="shared" si="23"/>
        <v>1</v>
      </c>
    </row>
    <row r="215" spans="1:16" ht="15" customHeight="1" x14ac:dyDescent="0.3">
      <c r="A215" s="2" t="s">
        <v>160</v>
      </c>
      <c r="B215" s="13">
        <v>46017</v>
      </c>
      <c r="C215" s="8" t="s">
        <v>28</v>
      </c>
      <c r="D215" s="2" t="s">
        <v>48</v>
      </c>
      <c r="E215" s="2" t="s">
        <v>66</v>
      </c>
      <c r="F215" s="2">
        <v>18</v>
      </c>
      <c r="G215" s="3">
        <v>78000</v>
      </c>
      <c r="H215" s="3">
        <f t="shared" si="18"/>
        <v>1404000</v>
      </c>
      <c r="I215" s="2" t="s">
        <v>19</v>
      </c>
      <c r="J215" s="2" t="s">
        <v>59</v>
      </c>
      <c r="K215" t="str">
        <f t="shared" si="19"/>
        <v>December</v>
      </c>
      <c r="M215" t="b">
        <f t="shared" si="20"/>
        <v>1</v>
      </c>
      <c r="N215" s="12">
        <f t="shared" si="21"/>
        <v>78000</v>
      </c>
      <c r="O215" s="12" t="b">
        <f t="shared" si="22"/>
        <v>1</v>
      </c>
      <c r="P215" t="b">
        <f t="shared" si="23"/>
        <v>1</v>
      </c>
    </row>
    <row r="216" spans="1:16" ht="15" customHeight="1" x14ac:dyDescent="0.3">
      <c r="A216" s="2" t="s">
        <v>50</v>
      </c>
      <c r="B216" s="13">
        <v>46017</v>
      </c>
      <c r="C216" s="8" t="s">
        <v>51</v>
      </c>
      <c r="D216" s="2" t="s">
        <v>17</v>
      </c>
      <c r="E216" s="2" t="s">
        <v>22</v>
      </c>
      <c r="F216" s="2">
        <v>15</v>
      </c>
      <c r="G216" s="3">
        <v>20000</v>
      </c>
      <c r="H216" s="3">
        <f t="shared" si="18"/>
        <v>300000</v>
      </c>
      <c r="I216" s="2" t="s">
        <v>26</v>
      </c>
      <c r="J216" s="2" t="s">
        <v>23</v>
      </c>
      <c r="K216" t="str">
        <f t="shared" si="19"/>
        <v>December</v>
      </c>
      <c r="M216" t="b">
        <f t="shared" si="20"/>
        <v>1</v>
      </c>
      <c r="N216" s="12">
        <f t="shared" si="21"/>
        <v>20000</v>
      </c>
      <c r="O216" s="12" t="b">
        <f t="shared" si="22"/>
        <v>1</v>
      </c>
      <c r="P216" t="b">
        <f t="shared" si="23"/>
        <v>1</v>
      </c>
    </row>
    <row r="217" spans="1:16" ht="15" customHeight="1" x14ac:dyDescent="0.3">
      <c r="A217" s="2" t="s">
        <v>40</v>
      </c>
      <c r="B217" s="13">
        <v>46018</v>
      </c>
      <c r="C217" s="8" t="s">
        <v>28</v>
      </c>
      <c r="D217" s="2" t="s">
        <v>17</v>
      </c>
      <c r="E217" s="2" t="s">
        <v>22</v>
      </c>
      <c r="F217" s="2">
        <v>23</v>
      </c>
      <c r="G217" s="3">
        <v>61000</v>
      </c>
      <c r="H217" s="3">
        <f t="shared" si="18"/>
        <v>1403000</v>
      </c>
      <c r="I217" s="2" t="s">
        <v>13</v>
      </c>
      <c r="J217" s="2" t="s">
        <v>14</v>
      </c>
      <c r="K217" t="str">
        <f t="shared" si="19"/>
        <v>December</v>
      </c>
      <c r="M217" t="b">
        <f t="shared" si="20"/>
        <v>1</v>
      </c>
      <c r="N217" s="12">
        <f t="shared" si="21"/>
        <v>61000</v>
      </c>
      <c r="O217" s="12" t="b">
        <f t="shared" si="22"/>
        <v>1</v>
      </c>
      <c r="P217" t="b">
        <f t="shared" si="23"/>
        <v>1</v>
      </c>
    </row>
    <row r="218" spans="1:16" ht="15" customHeight="1" x14ac:dyDescent="0.3">
      <c r="A218" s="2" t="s">
        <v>142</v>
      </c>
      <c r="B218" s="13">
        <v>46018</v>
      </c>
      <c r="C218" s="8" t="s">
        <v>16</v>
      </c>
      <c r="D218" s="2" t="s">
        <v>11</v>
      </c>
      <c r="E218" s="2" t="s">
        <v>12</v>
      </c>
      <c r="F218" s="2">
        <v>10</v>
      </c>
      <c r="G218" s="3">
        <v>129000</v>
      </c>
      <c r="H218" s="3">
        <f t="shared" si="18"/>
        <v>1290000</v>
      </c>
      <c r="I218" s="4" t="s">
        <v>277</v>
      </c>
      <c r="J218" s="2" t="s">
        <v>14</v>
      </c>
      <c r="K218" t="str">
        <f t="shared" si="19"/>
        <v>December</v>
      </c>
      <c r="M218" t="b">
        <f t="shared" si="20"/>
        <v>1</v>
      </c>
      <c r="N218" s="12">
        <f t="shared" si="21"/>
        <v>129000</v>
      </c>
      <c r="O218" s="12" t="b">
        <f t="shared" si="22"/>
        <v>1</v>
      </c>
      <c r="P218" t="b">
        <f t="shared" si="23"/>
        <v>1</v>
      </c>
    </row>
    <row r="219" spans="1:16" ht="15" customHeight="1" x14ac:dyDescent="0.3">
      <c r="A219" s="2" t="s">
        <v>275</v>
      </c>
      <c r="B219" s="13">
        <v>46018</v>
      </c>
      <c r="C219" s="8" t="s">
        <v>21</v>
      </c>
      <c r="D219" s="2" t="s">
        <v>17</v>
      </c>
      <c r="E219" s="2" t="s">
        <v>46</v>
      </c>
      <c r="F219" s="2">
        <v>16</v>
      </c>
      <c r="G219" s="3">
        <v>35000</v>
      </c>
      <c r="H219" s="3">
        <f t="shared" si="18"/>
        <v>560000</v>
      </c>
      <c r="I219" s="2" t="s">
        <v>37</v>
      </c>
      <c r="J219" s="2" t="s">
        <v>14</v>
      </c>
      <c r="K219" t="str">
        <f t="shared" si="19"/>
        <v>December</v>
      </c>
      <c r="M219" t="b">
        <f t="shared" si="20"/>
        <v>1</v>
      </c>
      <c r="N219" s="12">
        <f t="shared" si="21"/>
        <v>35000</v>
      </c>
      <c r="O219" s="12" t="b">
        <f t="shared" si="22"/>
        <v>1</v>
      </c>
      <c r="P219" t="b">
        <f t="shared" si="23"/>
        <v>1</v>
      </c>
    </row>
    <row r="220" spans="1:16" ht="15" customHeight="1" x14ac:dyDescent="0.3">
      <c r="A220" s="2" t="s">
        <v>164</v>
      </c>
      <c r="B220" s="13">
        <v>46020</v>
      </c>
      <c r="C220" s="8" t="s">
        <v>51</v>
      </c>
      <c r="D220" s="2" t="s">
        <v>31</v>
      </c>
      <c r="E220" s="2" t="s">
        <v>32</v>
      </c>
      <c r="F220" s="2">
        <v>2</v>
      </c>
      <c r="G220" s="3">
        <v>119000</v>
      </c>
      <c r="H220" s="3">
        <f t="shared" si="18"/>
        <v>238000</v>
      </c>
      <c r="I220" s="2" t="s">
        <v>33</v>
      </c>
      <c r="J220" s="2" t="s">
        <v>14</v>
      </c>
      <c r="K220" t="str">
        <f t="shared" si="19"/>
        <v>December</v>
      </c>
      <c r="M220" t="b">
        <f t="shared" si="20"/>
        <v>1</v>
      </c>
      <c r="N220" s="12">
        <f t="shared" si="21"/>
        <v>119000</v>
      </c>
      <c r="O220" s="12" t="b">
        <f t="shared" si="22"/>
        <v>1</v>
      </c>
      <c r="P220" t="b">
        <f t="shared" si="23"/>
        <v>1</v>
      </c>
    </row>
    <row r="221" spans="1:16" ht="15" customHeight="1" x14ac:dyDescent="0.3">
      <c r="A221" s="2" t="s">
        <v>136</v>
      </c>
      <c r="B221" s="13">
        <v>46020</v>
      </c>
      <c r="C221" s="8" t="s">
        <v>25</v>
      </c>
      <c r="D221" s="2" t="s">
        <v>17</v>
      </c>
      <c r="E221" s="2" t="s">
        <v>22</v>
      </c>
      <c r="F221" s="2">
        <v>12</v>
      </c>
      <c r="G221" s="3">
        <v>72000</v>
      </c>
      <c r="H221" s="3">
        <f t="shared" si="18"/>
        <v>864000</v>
      </c>
      <c r="I221" s="2" t="s">
        <v>19</v>
      </c>
      <c r="J221" s="2" t="s">
        <v>23</v>
      </c>
      <c r="K221" t="str">
        <f t="shared" si="19"/>
        <v>December</v>
      </c>
      <c r="M221" t="b">
        <f t="shared" si="20"/>
        <v>1</v>
      </c>
      <c r="N221" s="12">
        <f t="shared" si="21"/>
        <v>72000</v>
      </c>
      <c r="O221" s="12" t="b">
        <f t="shared" si="22"/>
        <v>1</v>
      </c>
      <c r="P221" t="b">
        <f t="shared" si="23"/>
        <v>1</v>
      </c>
    </row>
    <row r="222" spans="1:16" x14ac:dyDescent="0.25">
      <c r="C222" s="10"/>
      <c r="I222" s="11"/>
    </row>
    <row r="224" spans="1:16" ht="28.5" x14ac:dyDescent="0.25">
      <c r="M224" s="24" t="s">
        <v>314</v>
      </c>
      <c r="N224" s="25">
        <f>SUM(H2:H221)</f>
        <v>280633000</v>
      </c>
    </row>
    <row r="225" spans="13:14" ht="28.5" x14ac:dyDescent="0.25">
      <c r="M225" s="24" t="s">
        <v>315</v>
      </c>
      <c r="N225" s="26">
        <f>SUM(F2:F221)</f>
        <v>2999</v>
      </c>
    </row>
  </sheetData>
  <autoFilter ref="A1:K221" xr:uid="{00000000-0001-0000-0100-000000000000}"/>
  <sortState xmlns:xlrd2="http://schemas.microsoft.com/office/spreadsheetml/2017/richdata2" ref="A2:K221">
    <sortCondition ref="B2:B221"/>
  </sortState>
  <phoneticPr fontId="7" type="noConversion"/>
  <conditionalFormatting sqref="A1:A1048576">
    <cfRule type="duplicateValues" dxfId="3955" priority="3"/>
  </conditionalFormatting>
  <conditionalFormatting sqref="F1:F1048576">
    <cfRule type="cellIs" priority="1" operator="lessThanOrEqual">
      <formula>0</formula>
    </cfRule>
  </conditionalFormatting>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Presentasi</vt:lpstr>
      <vt:lpstr>Ringkasan Eksekutif</vt:lpstr>
      <vt:lpstr>Rekomendasi Strategis</vt:lpstr>
      <vt:lpstr>ANALISIS</vt:lpstr>
      <vt:lpstr>Dashboard</vt:lpstr>
      <vt:lpstr>Catatan Cleaning</vt:lpstr>
      <vt:lpstr>Data Penjualan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W10</cp:lastModifiedBy>
  <cp:revision>0</cp:revision>
  <cp:lastPrinted>2026-10-03T03:38:43Z</cp:lastPrinted>
  <dcterms:created xsi:type="dcterms:W3CDTF">2026-08-26T10:05:52Z</dcterms:created>
  <dcterms:modified xsi:type="dcterms:W3CDTF">2026-10-16T09:21:39Z</dcterms:modified>
  <dc:language>en-US</dc:language>
</cp:coreProperties>
</file>